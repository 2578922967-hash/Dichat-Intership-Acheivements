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view" sheetId="1" r:id="rId5"/>
    <sheet state="visible" name="CNY" sheetId="2" r:id="rId6"/>
    <sheet state="visible" name="轻松小熊" sheetId="3" r:id="rId7"/>
    <sheet state="visible" name="五一嘉顿" sheetId="4" r:id="rId8"/>
    <sheet state="visible" name="7月chiikawa" sheetId="5" r:id="rId9"/>
    <sheet state="visible" name="8月chiikawa" sheetId="6" r:id="rId10"/>
    <sheet state="visible" name="8月艺术家雕塑打卡" sheetId="7" r:id="rId11"/>
  </sheets>
  <definedNames/>
  <calcPr/>
</workbook>
</file>

<file path=xl/sharedStrings.xml><?xml version="1.0" encoding="utf-8"?>
<sst xmlns="http://schemas.openxmlformats.org/spreadsheetml/2006/main" count="678" uniqueCount="287">
  <si>
    <t>KOL post</t>
  </si>
  <si>
    <t>KOL name</t>
  </si>
  <si>
    <t>Fans No</t>
  </si>
  <si>
    <t>Post feed</t>
  </si>
  <si>
    <t>Post link</t>
  </si>
  <si>
    <t>Views</t>
  </si>
  <si>
    <t>Likes</t>
  </si>
  <si>
    <t>Saves</t>
  </si>
  <si>
    <t>Comments</t>
  </si>
  <si>
    <t>Total Engagement</t>
  </si>
  <si>
    <t>Engagement rate</t>
  </si>
  <si>
    <t>米儿_Mia</t>
  </si>
  <si>
    <t>拖把不拖地</t>
  </si>
  <si>
    <t>图文</t>
  </si>
  <si>
    <t>视频</t>
  </si>
  <si>
    <t>https://www.xiaohongshu.com/explore/69f46507000000003601884c?xsec_token=AB-F8DPGUKuchtwJvHDhgYBMZwn_n82IeyrmabWat6iDw=&amp;xsec_source=pc_user</t>
  </si>
  <si>
    <t>https://www.xiaohongshu.com/explore/6980b20d000000001a02ff3d?xsec_token=AB79jKHm2D3YDDCbtKJNSPyba6wFUn9Um93WA6ulqC4FA=&amp;xsec_source=pc_user</t>
  </si>
  <si>
    <t>phoebee</t>
  </si>
  <si>
    <t>https://www.xiaohongshu.com/explore/69d26c05000000001a02b081?xsec_token=ABLqctNePV4aOw0hPz1QgDyv1oR1qdVZ3LqZ0SXTMKh8U=&amp;xsec_source=pc_user</t>
  </si>
  <si>
    <t>Total</t>
  </si>
  <si>
    <t>Isabe_lle</t>
  </si>
  <si>
    <t>小马达被偷走了</t>
  </si>
  <si>
    <t>https://www.xiaohongshu.com/explore/69d24bbb000000002200e767?xsec_token=ABLqctNePV4aOw0hPz1QgDynBkmms-lwFTAdIaAq0LpAE=&amp;xsec_source=pc_user</t>
  </si>
  <si>
    <t>https://www.xiaohongshu.com/explore/697d7fa1000000001a0309e5?xsec_token=ABWQekhs142jMHlkx4FptHNUX5gAQiMZattBEB0XJ3kr4=&amp;xsec_source=pc_user</t>
  </si>
  <si>
    <t>KOC post</t>
  </si>
  <si>
    <t>饼饼zz</t>
  </si>
  <si>
    <t>https://www.xiaohongshu.com/explore/69d23a390000000023021cd5?xsec_token=ABLqctNePV4aOw0hPz1QgDyhfay02O7HOCoRbe4TFmYLI=&amp;xsec_source=pc_user</t>
  </si>
  <si>
    <t>https://www.xiaohongshu.com/explore/69807194000000000a02ac7c?xsec_token=AB79jKHm2D3YDDCbtKJNSPyeQzcaQG7dpJQsSZ8MY7xcM=&amp;xsec_source=pc_user</t>
  </si>
  <si>
    <t>STEZO</t>
  </si>
  <si>
    <t>https://www.xiaohongshu.com/explore/69f4973000000000370349e1?xsec_token=AB-F8DPGUKuchtwJvHDhgYBBoE9-0h61dl9TUhmR_MVsY=&amp;xsec_source=pc_user</t>
  </si>
  <si>
    <t>闫可欣Ykkxx</t>
  </si>
  <si>
    <t>一只乐儿～</t>
  </si>
  <si>
    <t>https://www.xiaohongshu.com/explore/69cf50f30000000023006216?xsec_token=ABixbG1JQeO1q96JFJcaOa-k4J-pkDoRVGYPSAR6BFuBc=&amp;xsec_source=pc_user</t>
  </si>
  <si>
    <t>https://www.xiaohongshu.com/explore/69788f5f0000000021028049?xsec_token=ABtCrkhYqOzoE1ZQCImpBlcZ0BKZIo6RBaqjkwu3_lsSQ=&amp;xsec_source=pc_user</t>
  </si>
  <si>
    <t>秦一碟</t>
  </si>
  <si>
    <t>https://www.xiaohongshu.com/explore/69f48de6000000002301f4c5?xsec_token=AB-F8DPGUKuchtwJvHDhgYBJipdTmuvG2BueCfT_DIxDA=&amp;xsec_source=pc_user</t>
  </si>
  <si>
    <t>Lam1Lam(打工版)</t>
  </si>
  <si>
    <t>https://www.xiaohongshu.com/explore/698c25d4000000002801cd1d?xsec_token=ABq_7vmhQWuavFdk78N0dsldvQoECc22RxIPRCrPEF7ag=&amp;xsec_source=pc_user</t>
  </si>
  <si>
    <t>奶牛小钟</t>
  </si>
  <si>
    <t>https://www.xiaohongshu.com/explore/69cf9c0c000000001a03325f?xsec_token=ABixbG1JQeO1q96JFJcaOa-ui373iun0CPOPKofBUL3Gw=&amp;xsec_source=pc_user</t>
  </si>
  <si>
    <t>朴允妍</t>
  </si>
  <si>
    <t>https://www.xiaohongshu.com/explore/69f865bb00000000350236ae?xsec_token=ABho2tZV5sXdrbGidyyDGm-cnNvvSsxkrwcKazRJ6bDSc=&amp;xsec_source=pc_user</t>
  </si>
  <si>
    <t>Suushi_</t>
  </si>
  <si>
    <t>https://www.xiaohongshu.com/explore/6978296b000000000c036257?xsec_token=ABI-n7EcR5DlLNseOHhRKnNC8avzNXjkDZu0jTczQ5dZY=&amp;xsec_source=pc_user</t>
  </si>
  <si>
    <t>Mdsss</t>
  </si>
  <si>
    <t>骑骑兽</t>
  </si>
  <si>
    <t>https://www.xiaohongshu.com/explore/69d76c45000000001f0029d5?xsec_token=ABs0iKR1OL4fgT90XsEbpLi6zCDC4iGIOrLSsoPhPFGD0=&amp;xsec_source=pc_user</t>
  </si>
  <si>
    <t>https://www.xiaohongshu.com/explore/69f9c808000000003601c02c?xsec_token=ABGzzB92VFKM6dJn3kS-SijzKfJxk3v4gdsiVjY9-VaS4=&amp;xsec_source=pc_user</t>
  </si>
  <si>
    <t>秋秋你别吃了</t>
  </si>
  <si>
    <t>https://www.xiaohongshu.com/explore/698219a0000000000c035faf?xsec_token=ABxCzltws1D2EnRy06XZit8K4Gep4fsF4LcAj_GQrP0Cw=&amp;xsec_source=pc_user</t>
  </si>
  <si>
    <t>茶先生</t>
  </si>
  <si>
    <t>Christina Lu</t>
  </si>
  <si>
    <t>https://www.xiaohongshu.com/explore/69f9f1d20000000022027fdf?xsec_token=ABGzzB92VFKM6dJn3kS-Sij_KaqAPKr3Zkb5KfKfeTW28=&amp;xsec_source=pc_user</t>
  </si>
  <si>
    <t>https://www.xiaohongshu.com/explore/69d5ebf20000000023005351?xsec_token=ABQuJxQ7p4AiyW0p3MgvAwqo7SqiCUUZ5fc1w8zH31ygs=&amp;xsec_source=pc_user</t>
  </si>
  <si>
    <t>Campaign total</t>
  </si>
  <si>
    <t>Seeding post</t>
  </si>
  <si>
    <t>摆烂鱼蛋b67</t>
  </si>
  <si>
    <t>https://www.xiaohongshu.com/explore/69898057000000000e03d5aa?xsec_token=AB-SlM_6Hm25d-i4V73cebd0v358LVljhfTlxttVdV5mk=&amp;xsec_source=pc_user</t>
  </si>
  <si>
    <t>Link</t>
  </si>
  <si>
    <t>摆烂小汤圆</t>
  </si>
  <si>
    <t>https://www.xiaohongshu.com/explore/69cf3db70000000021011659?xsec_token=ABixbG1JQeO1q96JFJcaOa-kx9Afdy7yFMaqjhnInpPTs=&amp;xsec_source=pc_user</t>
  </si>
  <si>
    <t>暴躁小靖yujing_</t>
  </si>
  <si>
    <t>https://www.xiaohongshu.com/explore/69f2ca500000000037036eb9?xsec_token=ABckMioKmISF__kFIyN1HMSheJqmFE9-tAuaQXBNuBhpU=&amp;xsec_source=pc_user</t>
  </si>
  <si>
    <t>阿尔卑斯不加辣</t>
  </si>
  <si>
    <t>https://www.xiaohongshu.com/explore/6989a7a5000000000e00ef64?xsec_token=AB-SlM_6Hm25d-i4V73cebdx48bS4tzMxZAGBfwJ76gKk=&amp;xsec_source=pc_user</t>
  </si>
  <si>
    <t>开心的橘子🍊</t>
  </si>
  <si>
    <t>https://www.xiaohongshu.com/explore/698b3f44000000001a02f7bf?xsec_token=ABr2a4UcBF9eSGqH8oUHJy2mGj2Oaz0kze-hVER9vHG_E=&amp;xsec_source=pc_user</t>
  </si>
  <si>
    <t>多芒小丸子</t>
  </si>
  <si>
    <t>https://www.xiaohongshu.com/explore/69f33c57000000003501c1df?xsec_token=ABNk_guAaBo3jT9jsCZwtwtBmEQS-GtJYr_HVUTHD0LrI=&amp;xsec_source=pc_user</t>
  </si>
  <si>
    <t>LEESA</t>
  </si>
  <si>
    <t>https://www.xiaohongshu.com/explore/69cddbf9000000002301dfe9?xsec_token=AB7f9PMFcLjLy2Uxi18K2sKCYSpMwa44uKePD31qdjs2Q=&amp;xsec_source=pc_user</t>
  </si>
  <si>
    <t>吃吃chill💞</t>
  </si>
  <si>
    <t>https://www.xiaohongshu.com/explore/698c48c4000000000e03cc88?xsec_token=ABq_7vmhQWuavFdk78N0dslWzNoQAGtexSQuTjK1A6O2k=&amp;xsec_source=pc_user</t>
  </si>
  <si>
    <t>https://www.xiaohongshu.com/explore/69f21d8c000000001b022d84?xsec_token=ABckMioKmISF__kFIyN1HMSlDxOkEdbaBb-zhtcWypk9M=&amp;xsec_source=pc_user</t>
  </si>
  <si>
    <t>荷小小</t>
  </si>
  <si>
    <t>https://www.xiaohongshu.com/explore/69ccaeb6000000001e00c05a?xsec_token=AB5xnEwiKbqYoHJ_v2Ky6A-HseOp_ix3ybNLBjjdRZPDU=&amp;xsec_source=pc_user</t>
  </si>
  <si>
    <t>Emotion*小吃货</t>
  </si>
  <si>
    <t>https://www.xiaohongshu.com/explore/698abcae000000000a03ef4a?xsec_token=ABN4M7sRw4QvZc7yWyxiFUr0tLpGyXHFy1ycTcX0YEay0=&amp;xsec_source=pc_user</t>
  </si>
  <si>
    <t>麦当当吃饱饱🍔</t>
  </si>
  <si>
    <t>https://www.xiaohongshu.com/explore/69f2f7ed0000000022024977?xsec_token=ABckMioKmISF__kFIyN1HMSkloiOFFAXo-gd8hztKD424=&amp;xsec_source=pc_user</t>
  </si>
  <si>
    <t>🌸娇憨软妹子🌸</t>
  </si>
  <si>
    <t>Suki大王</t>
  </si>
  <si>
    <t>https://www.xiaohongshu.com/explore/69ccd4730000000022026e9b?xsec_token=ABl88-UCE4UwAV8Q4WfQvjyDV1quLtrzgFp4-Z6VaOZ3s=&amp;xsec_source=pc_user</t>
  </si>
  <si>
    <t>https://www.xiaohongshu.com/explore/698c80f6000000000b00b112?xsec_token=ABq_7vmhQWuavFdk78N0dslVOgBo15THLnBHzGDt3uWUk=&amp;xsec_source=pc_user</t>
  </si>
  <si>
    <t>希希妈在香港</t>
  </si>
  <si>
    <t>https://www.xiaohongshu.com/explore/69ccd7d3000000001d018cc6?xsec_token=ABl88-UCE4UwAV8Q4WfQvjyIF-R2hzlLRXURoPwwta0Pc=&amp;xsec_source=pc_user</t>
  </si>
  <si>
    <t>西柚茉莉少女</t>
  </si>
  <si>
    <t>https://www.xiaohongshu.com/explore/698ca7b2000000002801c078?xsec_token=ABq_7vmhQWuavFdk78N0dslaQrbT6uP0czOTktwV1lcGI=&amp;xsec_source=pc_user</t>
  </si>
  <si>
    <t>肚几好饿</t>
  </si>
  <si>
    <t>https://www.xiaohongshu.com/explore/69f2237e000000002301c319?xsec_token=ABckMioKmISF__kFIyN1HMSlGhQprWA-8riF_3hu8URUg=&amp;xsec_source=pc_user</t>
  </si>
  <si>
    <t>https://www.xiaohongshu.com/explore/698adadf000000001d0255a3?app_platform=ios&amp;app_version=9.8&amp;share_from_user_hidden=true&amp;xsec_source=app_share&amp;type=normal&amp;xsec_token=CB_jaoCdXK22gXhGoLkurNFc-tKSSYlxpqlPJzxqrqSPM=&amp;author_share=1&amp;xhsshare=CopyLink&amp;shareRedId=ODY5NTc2OEs2NzUyOTgwNjY0OTc5ODxL&amp;apptime=1770708030&amp;share_id=50206081e8c74c8ebb25b489781dc809</t>
  </si>
  <si>
    <t>食咩吖～</t>
  </si>
  <si>
    <t>https://www.xiaohongshu.com/explore/69f1e7640000000036002f5a?xsec_token=ABIo5wpN4Ss-FIsNkYtE4VwATXkJ8RaEzEebn3okJBhf8=&amp;xsec_source=pc_user</t>
  </si>
  <si>
    <t>https://www.xiaohongshu.com/explore/69916a89000000000e00da13?xsec_token=ABpQj_9vfjaUyCFxxyoMxRsN1cYoRh4-xdotriUiMVAZI=&amp;xsec_source=pc_user</t>
  </si>
  <si>
    <t>Fans Group post</t>
  </si>
  <si>
    <t>Name</t>
  </si>
  <si>
    <t>Olivia_HK</t>
  </si>
  <si>
    <t>https://xhslink.com/m/23ry428E2YB</t>
  </si>
  <si>
    <t>https://www.xiaohongshu.com/explore/698a8bd4000000000e00c3d2?xsec_token=ABN4M7sRw4QvZc7yWyxiFUr3dSa9Q5P3xRK_uLDZRbF-M=&amp;xsec_source=pc_user</t>
  </si>
  <si>
    <t>https://www.xiaohongshu.com/explore/69cb9bd8000000001d01e074?xsec_token=ABSD3ai7_bLiJUrw2ZPMxlVyUQ_wZ9SD285-Q5TBU3Ltk=&amp;xsec_source=pc_user</t>
  </si>
  <si>
    <t>https://www.xiaohongshu.com/explore/6992cff8000000000b00a7d4?xsec_token=ABN9_JlGVH1xlUxWLc08LrJvEwN3z5bOlS4gI-7ovlqiY=&amp;xsec_source=pc_user</t>
  </si>
  <si>
    <t>栗栗塔</t>
  </si>
  <si>
    <t>https://www.xiaohongshu.com/explore/69f1d12c000000003601922b?xsec_token=ABIo5wpN4Ss-FIsNkYtE4VwLd4IuU1KhZu9-OKxQY4nhM=&amp;xsec_source=pc_user</t>
  </si>
  <si>
    <t>5ystar</t>
  </si>
  <si>
    <t>害羞的树袋熊</t>
  </si>
  <si>
    <r>
      <rPr>
        <rFont val="Times New Roman"/>
        <sz val="10.0"/>
      </rPr>
      <t xml:space="preserve"> </t>
    </r>
    <r>
      <rPr>
        <rFont val="Times New Roman"/>
        <color rgb="FF1155CC"/>
        <sz val="10.0"/>
        <u/>
      </rPr>
      <t>https://xhslink.com/m/8t3jzSElgGR</t>
    </r>
  </si>
  <si>
    <t>https://www.xiaohongshu.com/explore/699567f3000000001a01d0a1?xsec_token=ABM4N7yCwZDUxX9Kr9KQwkare-B8d_rQa0fRt151DRhIw=&amp;xsec_source=pc_user</t>
  </si>
  <si>
    <t>https://www.xiaohongshu.com/explore/69cb766e000000002200e1a0?xsec_token=ABSD3ai7_bLiJUrw2ZPMxlV9yreOpnAUJLvr85-ct8a4M=&amp;xsec_source=pc_user</t>
  </si>
  <si>
    <t>麦麦美食</t>
  </si>
  <si>
    <t>https://www.xiaohongshu.com/explore/6992dd41000000001b01f983?xsec_token=ABN9_JlGVH1xlUxWLc08LrJndCla71NYVSm1TBcrdJhzI=&amp;xsec_source=pc_user</t>
  </si>
  <si>
    <t>FONG</t>
  </si>
  <si>
    <t>HAIJING77</t>
  </si>
  <si>
    <t xml:space="preserve"> https://xhslink.com/m/2WVntaimG4R</t>
  </si>
  <si>
    <t>https://www.xiaohongshu.com/explore/69f1d2b1000000003701f98f?xsec_token=ABIo5wpN4Ss-FIsNkYtE4VwFVpNNbqTegjgeaDGqCALoI=&amp;xsec_source=pc_user</t>
  </si>
  <si>
    <t>冉总吃吃吃</t>
  </si>
  <si>
    <t>https://www.xiaohongshu.com/explore/69958717000000000e00fd61?xsec_token=ABM4N7yCwZDUxX9Kr9KQwkaoucJpiPTeZ2FadRo41-auw=&amp;xsec_source=pc_user</t>
  </si>
  <si>
    <t>https://www.xiaohongshu.com/explore/69cba777000000001b023295?xsec_token=ABSD3ai7_bLiJUrw2ZPMxlV7CMKqq40yBJfGCI7Zp76jM=&amp;xsec_source=pc_user</t>
  </si>
  <si>
    <t>珍妮曲奇</t>
  </si>
  <si>
    <t xml:space="preserve">哈哈一笑 </t>
  </si>
  <si>
    <t>https://www.xiaohongshu.com/explore/69f1d97c000000002301c983?xsec_token=ABIo5wpN4Ss-FIsNkYtE4VwFV6tLTRJsOLmBZNfLUf4l8=&amp;xsec_source=pc_user</t>
  </si>
  <si>
    <t xml:space="preserve"> https://xhslink.com/m/6l5an8vtB8j</t>
  </si>
  <si>
    <t>李Eat.Eat.</t>
  </si>
  <si>
    <t>https://www.xiaohongshu.com/explore/6996b618000000001a02a7fd?xsec_token=ABzOpHWdru-TfnEFtUvLCJicFLjCo610JDG4_nIobJ0Ts=&amp;xsec_source=pc_user</t>
  </si>
  <si>
    <t>https://www.xiaohongshu.com/explore/69ce2491000000001b0023d3?xsec_token=AB-ee9ATMc6EmMKhkQqT_kbT2mt8HfdQj98jobG6sYVsE=&amp;xsec_source=pc_user</t>
  </si>
  <si>
    <t>哈哈一笑</t>
  </si>
  <si>
    <t>https://www.xiaohongshu.com/explore/69f1c7eb000000003501ebff?xsec_token=ABIo5wpN4Ss-FIsNkYtE4VwMpFwpGtgyRGbARX29Toc0k=&amp;xsec_source=pc_user</t>
  </si>
  <si>
    <t>寺川</t>
  </si>
  <si>
    <t xml:space="preserve"> https://xhslink.com/m/3kP3s2wmMhv</t>
  </si>
  <si>
    <t>小野星金金</t>
  </si>
  <si>
    <t>https://www.xiaohongshu.com/explore/69953ad9000000000a03e3d4?xsec_token=ABM4N7yCwZDUxX9Kr9KQwkaiuzZnbZoWN5bYtL2BXiP4g=&amp;xsec_source=pc_user</t>
  </si>
  <si>
    <t>Queena</t>
  </si>
  <si>
    <t>https://www.xiaohongshu.com/explore/69f1c156000000001a0367d4?xsec_token=ABIo5wpN4Ss-FIsNkYtE4VwLTn3evTd5B8ghooxq8olTM=&amp;xsec_source=pc_user</t>
  </si>
  <si>
    <t>https://www.xiaohongshu.com/explore/69cb933d00000000220263de?xsec_token=ABSD3ai7_bLiJUrw2ZPMxlV-OdMYKPS24Xz8hTBBGpp_Y=&amp;xsec_source=pc_user</t>
  </si>
  <si>
    <t>萬</t>
  </si>
  <si>
    <t>https://www.xiaohongshu.com/explore/69f1d22b000000003700de9c?xsec_token=ABIo5wpN4Ss-FIsNkYtE4VwE8FT-kyCpw1Ibzud6w6Iaw=&amp;xsec_source=pc_user</t>
  </si>
  <si>
    <t>https://www.xiaohongshu.com/explore/69cbb221000000001e00c196?xsec_token=ABSD3ai7_bLiJUrw2ZPMxlVyK2gtTgczKT6QrM7FsBGSc=&amp;xsec_source=pc_user</t>
  </si>
  <si>
    <t>Olivi_HK</t>
  </si>
  <si>
    <t>https://www.xiaohongshu.com/explore/69f1b9030000000035024f38?xsec_token=ABIo5wpN4Ss-FIsNkYtE4VwA9VDSl_ojyrUoR3wKbI7y0=&amp;xsec_source=pc_user</t>
  </si>
  <si>
    <t>momo(学习版)</t>
  </si>
  <si>
    <t>https://www.xiaohongshu.com/explore/69f1bb61000000003502ae22?xsec_token=ABIo5wpN4Ss-FIsNkYtE4VwMztgAh1zpuAda4NpyFHIfE=&amp;xsec_source=pc_user</t>
  </si>
  <si>
    <t>Bouns post</t>
  </si>
  <si>
    <r>
      <rPr>
        <rFont val="Times New Roman"/>
        <sz val="10.0"/>
      </rPr>
      <t xml:space="preserve"> </t>
    </r>
    <r>
      <rPr>
        <rFont val="Times New Roman"/>
        <color rgb="FF1155CC"/>
        <sz val="10.0"/>
        <u/>
      </rPr>
      <t>https://xhslink.com/m/9DcBTUNyf7C</t>
    </r>
  </si>
  <si>
    <t>Platform</t>
  </si>
  <si>
    <t>https://www.xiaohongshu.com/explore/69d5dd8b000000001d01cd3e?xsec_token=ABQuJxQ7p4AiyW0p3MgvAwqjay2RdE-qqGGLIZCBbVnyw=&amp;xsec_source=pc_user</t>
  </si>
  <si>
    <t>douyin</t>
  </si>
  <si>
    <t>https://www.douyin.com/user/MS4wLjABAAAAPZ9TSdSq_VFCWtZdNGDK-yv0Bl6YBD2oMg2Hfeixra8UwPT1ETWlXvJzrIBFJsub?from_tab_name=main&amp;modal_id=7602273374781395711</t>
  </si>
  <si>
    <t>未婚媽媽帶娃</t>
  </si>
  <si>
    <r>
      <rPr>
        <rFont val="Times New Roman"/>
        <sz val="10.0"/>
      </rPr>
      <t xml:space="preserve"> </t>
    </r>
    <r>
      <rPr>
        <rFont val="Times New Roman"/>
        <color rgb="FF1155CC"/>
        <sz val="10.0"/>
        <u/>
      </rPr>
      <t>https://xhslink.com/m/5W9MFhwFPjU</t>
    </r>
  </si>
  <si>
    <t>https://www.xiaohongshu.com/explore/69cb7b8a000000001b0011e1?xsec_token=ABSD3ai7_bLiJUrw2ZPMxlV9eKyR5bNUfDtKrokUmbgyk=&amp;xsec_source=pc_user</t>
  </si>
  <si>
    <t xml:space="preserve">小兔咪汉堡🥕 </t>
  </si>
  <si>
    <r>
      <rPr>
        <rFont val="Times New Roman"/>
        <sz val="10.0"/>
      </rPr>
      <t xml:space="preserve"> </t>
    </r>
    <r>
      <rPr>
        <rFont val="Times New Roman"/>
        <color rgb="FF1155CC"/>
        <sz val="10.0"/>
        <u/>
      </rPr>
      <t>https://xhslink.com/m/74ZgEAGaOEb</t>
    </r>
  </si>
  <si>
    <t>https://www.xiaohongshu.com/explore/69ce170f000000001b0235e0?xsec_token=AB-ee9ATMc6EmMKhkQqT_kbbrFitf6alStUHjaTCRpHS0=&amp;xsec_source=pc_user</t>
  </si>
  <si>
    <t>Campaign</t>
  </si>
  <si>
    <t>KOL quota</t>
  </si>
  <si>
    <t>Post number</t>
  </si>
  <si>
    <t>jujube</t>
  </si>
  <si>
    <t>Avg views</t>
  </si>
  <si>
    <t>https://www.xiaohongshu.com/user/profile/5bff9b1244363b0946ea0a0d?xsec_token=YBaBCqR7y-ThxzKbZ6l3IWzcmKZMqWIrmFW4znMJZsg5w=&amp;xsec_source=app_share&amp;xhsshare=CopyLink&amp;shareRedId=ODhFNjw3PT82NzUyOTgwNjY1OTc1OkxL&amp;apptime=1774940035&amp;share_id=e080f1ee6f3f4ab583f569d1491d3ce2</t>
  </si>
  <si>
    <t>CNY</t>
  </si>
  <si>
    <t>星球大战</t>
  </si>
  <si>
    <t>https://www.xiaohongshu.com/explore/69cb9a68000000002200f9ee?xsec_token=ABSD3ai7_bLiJUrw2ZPMxlV94iL7OFR4fomGBXBKNG18o=&amp;xsec_source=pc_user</t>
  </si>
  <si>
    <t>6月时尚主题探店</t>
  </si>
  <si>
    <t>鱿鱼游戏</t>
  </si>
  <si>
    <t>生蚝宝宝</t>
  </si>
  <si>
    <t>库洛米</t>
  </si>
  <si>
    <t>https://www.xiaohongshu.com/explore/69cc765c000000001b00370f?xsec_token=AB-9lptJOxdX4pLFSiljo_S_pfCUCraBzZW-WkuotN2Iw=&amp;xsec_source=pc_user</t>
  </si>
  <si>
    <t>圣诞</t>
  </si>
  <si>
    <t>2026 CNY</t>
  </si>
  <si>
    <t>轻松小熊</t>
  </si>
  <si>
    <t>五一嘉顿</t>
  </si>
  <si>
    <t>7月chiikawa</t>
  </si>
  <si>
    <t>不算博主赠送的笔记的话 平均阅读为5531</t>
  </si>
  <si>
    <t>8月chiikawa</t>
  </si>
  <si>
    <t>8月艺术家雕塑打卡</t>
  </si>
  <si>
    <t>2025 CNY</t>
  </si>
  <si>
    <t>y</t>
  </si>
  <si>
    <t>喵星人汪一个</t>
  </si>
  <si>
    <t>11.4w</t>
  </si>
  <si>
    <t xml:space="preserve"> https://www.xiaohongshu.com/discovery/item/6a4f46a2000000002003bb59?source=webshare&amp;xhsshare=pc_web&amp;xsec_token=AB1StKjf1ByZfwsZjWTzhwqru0TK_L7NXtyCH0nSvwcq8=&amp;xsec_source=pc_share</t>
  </si>
  <si>
    <t>https://www.xiaohongshu.com/explore/6a54bb120000000021016e71?xsec_token=ABPI8z_i0iLSUJLna1stFWxwFB6J_wVD0OgGi_Y-xn2OY=&amp;xsec_source=pc_user</t>
  </si>
  <si>
    <t>奶酪积垢</t>
  </si>
  <si>
    <t>2.3w</t>
  </si>
  <si>
    <t>https://www.xiaohongshu.com/explore/6a54590e00000000060308a5?xsec_token=ABPI8z_i0iLSUJLna1stFWxwXmGHw9qOHrwXSo79pFz2Q=&amp;xsec_source=pc_user</t>
  </si>
  <si>
    <t>大旧忽</t>
  </si>
  <si>
    <t>2.2w</t>
  </si>
  <si>
    <t>https://www.xiaohongshu.com/discovery/item/6a4f6063000000001102e63b?source=webshare&amp;xhsshare=pc_web&amp;xsec_token=AB1StKjf1ByZfwsZjWTzhwqpt9b5fAg35Hcpw7fjR7hJs=&amp;xsec_source=pc_sharee</t>
  </si>
  <si>
    <t xml:space="preserve">http://xhslink.com/o/7Eq9rzfWLN4 </t>
  </si>
  <si>
    <t>张张Zz💎</t>
  </si>
  <si>
    <t>1.8w</t>
  </si>
  <si>
    <t>https://www.xiaohongshu.com/explore/6a50d0e40000000007011233?xsec_token=ABqc0RKty1JqWEos57qQURvV6HEQK31STHzku58AEh39o=&amp;xsec_source=pc_user</t>
  </si>
  <si>
    <t>https://www.xiaohongshu.com/explore/6a4f51040000000022014be8?xsec_token=ABYDON0nC1F8Z-OmyjIh12yrXCsf0q_rKLCu3K9DRGlA8=&amp;xsec_source=pc_user</t>
  </si>
  <si>
    <t>阿德里安</t>
  </si>
  <si>
    <t>潘潘kiwi</t>
  </si>
  <si>
    <t>XHS</t>
  </si>
  <si>
    <t>1.1w</t>
  </si>
  <si>
    <t>http://xhslink.com/o/8D1F4g53CJV</t>
  </si>
  <si>
    <t>https://www.xiaohongshu.com/explore/6a7302870000000032022b49?xsec_token=ABxt1SH1y3MQ3T7xoKIPo7Dm_618YTsr-s0WYLtm3e1PI=&amp;xsec_source=pc_search</t>
  </si>
  <si>
    <t>https://www.xiaohongshu.com/explore/6a5a41c5000000000503b462?xsec_token=ABXt8rjP2aRh-X5AbfHvnP9RK82SHiWpAl_37V2e081ys=&amp;xsec_source=pc_search</t>
  </si>
  <si>
    <t>Jy小酒</t>
  </si>
  <si>
    <t>2.7w</t>
  </si>
  <si>
    <t>https://www.xiaohongshu.com/discovery/item/6a4e06520000000008025bc1?source=webshare&amp;xhsshare=pc_web&amp;xsec_token=CBefaoTLYD4ZeGzcnRocBLcqJvDguzwWtgS1LrleiFX6Q=&amp;xsec_source=pc_share</t>
  </si>
  <si>
    <t>抖音</t>
  </si>
  <si>
    <t>https://www.douyin.com/video/7672026558178247013</t>
  </si>
  <si>
    <t>https://www.xiaohongshu.com/discovery/item/6a4e304f0000000021022e91?source=webshare&amp;xhsshare=pc_web&amp;xsec_token=CBefaoTLYD4ZeGzcnRocBLci690HIiw5Q-FR_-UCEGvG4=&amp;xsec_source=pc_share</t>
  </si>
  <si>
    <t>刘可鱼</t>
  </si>
  <si>
    <t>https://www.xiaohongshu.com/explore/6a78569d00000000250058b8?xsec_token=AB-jsGohsfIR5SZK-GslVIDyI6oSn5FCS8GxM-sn-232s=&amp;xsec_source=pc_search</t>
  </si>
  <si>
    <t>https://www.xiaohongshu.com/discovery/item/6a4f4ba70000000008024032?source=webshare&amp;xhsshare=pc_web&amp;xsec_token=AB1StKjf1ByZfwsZjWTzhwqk6PkVznUNSDghgXN54_RlE=&amp;xsec_source=pc_share</t>
  </si>
  <si>
    <t>LiLi莎莎</t>
  </si>
  <si>
    <t>https://www.xiaohongshu.com/explore/6a79a4740000000005032506?xsec_token=ABf-gtKsl0EMzS4visOq53H66M9kUNAZzwD6Xw_8mz7Sw=&amp;xsec_source=pc_search</t>
  </si>
  <si>
    <t>麦辣小八</t>
  </si>
  <si>
    <t>1.9w</t>
  </si>
  <si>
    <t>https://www.xiaohongshu.com/explore/6a4e03d50000000017009cab?xsec_token=ABJYsiodSl_KT-BLpCV7yex91jGo7Vb7L-2rHDq-SVmL0=&amp;xsec_source=pc_user</t>
  </si>
  <si>
    <t xml:space="preserve">港岛nikko </t>
  </si>
  <si>
    <t>https://www.xiaohongshu.com/explore/6a7713ff000000002800345b?xsec_token=ABwnOUgVPjEYQvXEj60H04pDIj4SvR4g3fxy_HK7OHJTE=&amp;xsec_source=app_share</t>
  </si>
  <si>
    <t>https://www.xiaohongshu.com/discovery/item/6a4f62b6000000001603fed0?source=webshare&amp;xhsshare=pc_web&amp;xsec_token=AB1StKjf1ByZfwsZjWTzhwqhmlGfbfcOEa6MjU-zMpHVk=&amp;xsec_source=pc_share</t>
  </si>
  <si>
    <t>https://www.douyin.com/video/7671646696048621669</t>
  </si>
  <si>
    <t>https://www.xiaohongshu.com/discovery/item/6a4f70390000000015024206?source=webshare&amp;xhsshare=pc_web&amp;xsec_token=AB1StKjf1ByZfwsZjWTzhwqvev_WQQsgx83DLJocv8mQs=&amp;xsec_source=pc_share</t>
  </si>
  <si>
    <t>陳陳chans.</t>
  </si>
  <si>
    <t>https://www.xiaohongshu.com/explore/6a7405100000000025001752?xsec_token=ABrJcLE5H-gxNppKV7YHAA9wWcR4he3l9uWhsbhoHjuOY=&amp;xsec_source=pc_search</t>
  </si>
  <si>
    <t xml:space="preserve"> https://www.xiaohongshu.com/discovery/item/6a4f71180000000015024878?source=webshare&amp;xhsshare=pc_web&amp;xsec_token=AB1StKjf1ByZfwsZjWTzhwquZfQMXjMPBDKGZQtm4H2IA=&amp;xsec_source=pc_share</t>
  </si>
  <si>
    <t>香港sukiki超会玩</t>
  </si>
  <si>
    <t>1.6w</t>
  </si>
  <si>
    <t>https://www.xiaohongshu.com/explore/6a4e0706000000001100672d?xsec_token=ABJYsiodSl_KT-BLpCV7yexwNSL8HRCWQnNYFqjGz34cU=&amp;xsec_source=pc_user</t>
  </si>
  <si>
    <t>https://www.douyin.com/video/7670763105647873913</t>
  </si>
  <si>
    <t>https://www.xiaohongshu.com/explore/6a4e01790000000011011c06?xsec_token=ABJYsiodSl_KT-BLpCV7yex2Wa72K7-4y4-kiAIXOEUk8=&amp;xsec_source=pc_user</t>
  </si>
  <si>
    <t>https://www.xiaohongshu.com/discovery/item/6a4f48e2000000000f032267?source=webshare&amp;xhsshare=pc_web&amp;xsec_token=AB1StKjf1ByZfwsZjWTzhwqpYUHL0WZJ0JGt5cUDJ3orE=&amp;xsec_source=pc_share</t>
  </si>
  <si>
    <t>IG</t>
  </si>
  <si>
    <t>https://www.instagram.com/reel/Dbr2bbwBKAC/?igsh=MWJ0Y3Z6c21tMjV3eg%3D%3D</t>
  </si>
  <si>
    <t>江岛樱二</t>
  </si>
  <si>
    <t>https://www.xiaohongshu.com/discovery/item/6a4fad370000000006034746?source=webshare&amp;xhsshare=pc_web&amp;xsec_token=CBxKcCMVe2gu9cFYm7mADwcw8tEsLarnvO61U9xo_Qqes=&amp;xsec_source=pc_share</t>
  </si>
  <si>
    <t>鹿久玖</t>
  </si>
  <si>
    <t>爱旅行的lulu</t>
  </si>
  <si>
    <t>10.3w</t>
  </si>
  <si>
    <t>糕冷徐子</t>
  </si>
  <si>
    <t>https://www.xiaohongshu.com/discovery/item/6a4f7d54000000001c024e20?source=webshare&amp;xhsshare=pc_web&amp;xsec_token=CBai3vIzenRWovDejGC_mxWb4lH68JpA4v9Kjuhx6s3R0=&amp;xsec_source=pc_share</t>
  </si>
  <si>
    <t>https://www.xiaohongshu.com/explore/6a9a8772000000002a027544?xsec_token=ABqpHQVN3ZSS1Lwo6JapLEsh31MkPjzlXc9sAKz6NHTO4=&amp;xsec_source=app_share</t>
  </si>
  <si>
    <t>https://www.xiaohongshu.com/explore/6a755c880000000022030bb0?xsec_token=ABFV95xyK0-id_lwMNLl7_eq2cWcbKEE7aC4_IiOcfB_U=&amp;xsec_source=app_share</t>
  </si>
  <si>
    <t>犯困蛋挞</t>
  </si>
  <si>
    <t>https://www.xiaohongshu.com/discovery/item/6a4f971a0000000008025318?source=webshare&amp;xhsshare=pc_web&amp;xsec_token=CBBs-Xor_UYfeSOH85OssSpm-bXuqcFNuZV8gvtNwBF1M=&amp;xsec_source=pc_share</t>
  </si>
  <si>
    <t>黄黄Christina</t>
  </si>
  <si>
    <t>粥粥周围跑</t>
  </si>
  <si>
    <t>https://www.xiaohongshu.com/discovery/item/6a4f6f1f000000001702f58f?source=webshare&amp;xhsshare=pc_web&amp;xsec_token=CBeYn2695lmpPo87qgVroeNxDGnhQbgU9uvNUq5ri7KIY=&amp;xsec_source=pc_share</t>
  </si>
  <si>
    <t>https://www.xiaohongshu.com/explore/6a75a917000000003301070b?xsec_token=ABFV95xyK0-id_lwMNLl7_eo5-FrwT87AOkJi92huPnv0=&amp;xsec_source=pc_user</t>
  </si>
  <si>
    <t>https://www.xiaohongshu.com/discovery/item/6a4f8de9000000001702feca?source=webshare&amp;xhsshare=pc_web&amp;xsec_token=AB1StKjf1ByZfwsZjWTzhwqvTW-gIKfn1V41i7wL88C40=&amp;xsec_source=pc_sharee</t>
  </si>
  <si>
    <t>Tsukasa又即系Lily</t>
  </si>
  <si>
    <t>https://www.xiaohongshu.com/discovery/item/6a4f61dc000000002100b4d6?source=webshare&amp;xhsshare=pc_web&amp;xsec_token=CBADRRDBsDwh5q2JerT4QyqVL_9dMxSPRUUwirlFviwhc=&amp;xsec_source=pc_share</t>
  </si>
  <si>
    <t>https://www.douyin.com/video/7670171126680590961</t>
  </si>
  <si>
    <t>序玖儿</t>
  </si>
  <si>
    <t>3.1w</t>
  </si>
  <si>
    <t>https://www.xiaohongshu.com/explore/6a8ee94300000000200335ae?xsec_token=ABVy_rX4pcj6Cdpn1TylIUcL6gGdFc0s_1N1QebAHhOzc=&amp;xsec_source=pc_search</t>
  </si>
  <si>
    <t>哒哒不爱吃月饼</t>
  </si>
  <si>
    <t>https://www.xiaohongshu.com/discovery/item/6a4f8824000000000f01665f?source=webshare&amp;xhsshare=pc_web&amp;xsec_token=CB1gBl8i2XVCJ8zw8dem76CZZ85VNJVekNQmFSXp_Tr2A=&amp;xsec_source=pc_share</t>
  </si>
  <si>
    <t>https://www.douyin.com/user/MS4wLjABAAAAM0qi55jGtomignltDcRoowyW-VW91z_xWAp6X6U1duNiMz8bxnq-WqkVtRF-csjF?from_tab_name=main&amp;modal_id=7671227554522730054&amp;relation=0&amp;vid=7670171126680590961</t>
  </si>
  <si>
    <t>小马达阿豆</t>
  </si>
  <si>
    <t>3.2w</t>
  </si>
  <si>
    <t>https://www.xiaohongshu.com/explore/6a4f21e3000000001702aab8?xsec_token=ABYDON0nC1F8Z-OmyjIh12yik5zn0v5OPWRV5M2QK-5vM=&amp;xsec_source=pc_user</t>
  </si>
  <si>
    <t>迪迪子</t>
  </si>
  <si>
    <t>2w</t>
  </si>
  <si>
    <t>https://www.xiaohongshu.com/explore/6a916a4f000000001f0016fb?xsec_token=ABbt_JMFx-QueXlXZPRLagIBrjIbTzBY-jkX9M1DhXzxE=&amp;xsec_source=app_share</t>
  </si>
  <si>
    <t>https://www.xiaohongshu.com/explore/6a4f19f3000000001700acba?xsec_token=ABYDON0nC1F8Z-OmyjIh12ymJjmHD7Pgg3doGN10LGIqA=&amp;xsec_source=pc_user</t>
  </si>
  <si>
    <t>Annie叶安妮</t>
  </si>
  <si>
    <t>3.7w</t>
  </si>
  <si>
    <t>Avg</t>
  </si>
  <si>
    <t>https://www.xiaohongshu.com/explore/6a94c675000000001803ee20?xsec_token=AB-jZyWLMnaUl7T5IgIx2ipXlAZqG31lWb2cFXMHnp2jI=&amp;xsec_source=pc_user</t>
  </si>
  <si>
    <t>杜淇淋_</t>
  </si>
  <si>
    <t>2.4w</t>
  </si>
  <si>
    <t>https://www.xiaohongshu.com/explore/6a91557900000000210319fe?xsec_token=ABbt_JMFx-QueXlXZPRLagIAfjdK1R4hZIH7y0Axs9n0I=&amp;xsec_source=pc_search</t>
  </si>
  <si>
    <t>失眠的sacr</t>
  </si>
  <si>
    <t>https://www.xiaohongshu.com/explore/6a72e11c000000002800056f?xsec_token=ABEYh1kPw_RWYOwhCdHlopCJVf5j-N6rv_KP7x5egwnuo=&amp;xsec_source=app_share</t>
  </si>
  <si>
    <t>Juko</t>
  </si>
  <si>
    <t>1w</t>
  </si>
  <si>
    <t>https://www.xiaohongshu.com/explore/6a9286a900000000250136da?xsec_token=ABFZJ2VFfrVCMV623KTAOfyq4LaOHHjGMt6iLNXE-r9Kw=&amp;xsec_source=pc_search</t>
  </si>
  <si>
    <t>再吃一口叭！</t>
  </si>
  <si>
    <t>https://www.xiaohongshu.com/explore/6a72d22300000000320311a4?xsec_token=ABEYh1kPw_RWYOwhCdHlopCA_W11z6N_3cb_Jm5pgb3Oc=&amp;xsec_source=app_share</t>
  </si>
  <si>
    <t>AKI爱丽诗</t>
  </si>
  <si>
    <t>1.5w</t>
  </si>
  <si>
    <t>https://www.xiaohongshu.com/explore/6a903b4b0000000006011e7b?xsec_token=ABF4ZoW-dDkLWxxND4GI0Uo1wip1gUhhLzz6yFpf5TBWQ=&amp;xsec_source=pc_search</t>
  </si>
  <si>
    <t>早起有饭吃</t>
  </si>
  <si>
    <t>https://www.xiaohongshu.com/explore/6a72d3e700000000060059b8?xsec_token=ABEYh1kPw_RWYOwhCdHlopCJdJp9Deoetk6Hm5yWsFpzI=&amp;xsec_source=app_share</t>
  </si>
  <si>
    <t>PCLA</t>
  </si>
  <si>
    <t>https://www.xiaohongshu.com/explore/6a92bd4b000000002003fbc4?xsec_token=ABFZJ2VFfrVCMV623KTAOfyrq15BS7d01uGE27ijwGj_4=&amp;xsec_source=app_share</t>
  </si>
  <si>
    <t>汤圆崽崽</t>
  </si>
  <si>
    <t>https://www.xiaohongshu.com/explore/6a72b6340000000026036f3f?xsec_token=ABEYh1kPw_RWYOwhCdHlopCPDyJdW4r7pJULFllgmkSM0=&amp;xsec_source=app_share</t>
  </si>
  <si>
    <t>https://www.xiaohongshu.com/explore/6a72b2b40000000024026cd4?xsec_token=ABEYh1kPw_RWYOwhCdHlopCLKqmeD04rQfVbVqeoHDr54=&amp;xsec_source=pc_note</t>
  </si>
  <si>
    <t>AVG</t>
  </si>
  <si>
    <t>美少女战战</t>
  </si>
  <si>
    <t>https://www.xiaohongshu.com/explore/6a72b7d90000000022031c95?xsec_token=ABEYh1kPw_RWYOwhCdHlopCLkiR45XN5fdqEOLRaTh5jo=&amp;xsec_source=app_share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</si>
</sst>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color theme="1"/>
      <name val="Arial"/>
    </font>
    <font/>
    <font>
      <sz val="10.0"/>
      <color theme="1"/>
      <name val="Times New Roman"/>
    </font>
    <font>
      <sz val="10.0"/>
      <color theme="1"/>
      <name val="Arial"/>
    </font>
    <font>
      <color rgb="FF373C43"/>
      <name val="Arial"/>
    </font>
    <font>
      <u/>
      <color rgb="FF0000FF"/>
      <name val="Arial"/>
    </font>
    <font>
      <u/>
      <sz val="10.0"/>
      <color rgb="FF0000FF"/>
      <name val="Times New Roman"/>
    </font>
    <font>
      <color theme="1"/>
      <name val="Times New Roman"/>
    </font>
    <font>
      <u/>
      <color rgb="FF1155CC"/>
      <name val="Arial"/>
    </font>
    <font>
      <u/>
      <color rgb="FF1155CC"/>
      <name val="Arial"/>
    </font>
    <font>
      <b/>
      <sz val="10.0"/>
      <color theme="1"/>
      <name val="Arial"/>
    </font>
    <font>
      <u/>
      <sz val="10.0"/>
      <color rgb="FF0000FF"/>
      <name val="Times New Roman"/>
    </font>
    <font>
      <u/>
      <color rgb="FF1155CC"/>
      <name val="Arial"/>
    </font>
    <font>
      <u/>
      <color rgb="FF1155CC"/>
      <name val="Arial"/>
    </font>
    <font>
      <u/>
      <sz val="10.0"/>
      <color rgb="FF0000FF"/>
      <name val="Times New Roman"/>
    </font>
    <font>
      <b/>
      <sz val="10.0"/>
      <color theme="1"/>
      <name val="Times New Roman"/>
    </font>
    <font>
      <color theme="1"/>
      <name val="Arial"/>
      <scheme val="minor"/>
    </font>
    <font>
      <u/>
      <sz val="10.0"/>
      <color rgb="FF0000FF"/>
      <name val="Times New Roman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</font>
    <font>
      <u/>
      <sz val="10.0"/>
      <color rgb="FF0000FF"/>
      <name val="Arial"/>
    </font>
    <font>
      <u/>
      <color rgb="FF0000FF"/>
    </font>
    <font>
      <u/>
      <color rgb="FF1155CC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center" readingOrder="0" vertical="center"/>
    </xf>
    <xf borderId="3" fillId="3" fontId="4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3" fillId="0" fontId="5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center"/>
    </xf>
    <xf borderId="3" fillId="0" fontId="1" numFmtId="3" xfId="0" applyAlignment="1" applyBorder="1" applyFont="1" applyNumberFormat="1">
      <alignment horizontal="center" readingOrder="0" vertical="bottom"/>
    </xf>
    <xf borderId="3" fillId="0" fontId="3" numFmtId="3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left" readingOrder="0" shrinkToFit="0" vertical="center" wrapText="0"/>
    </xf>
    <xf borderId="3" fillId="0" fontId="8" numFmtId="3" xfId="0" applyAlignment="1" applyBorder="1" applyFont="1" applyNumberFormat="1">
      <alignment horizontal="center" readingOrder="0"/>
    </xf>
    <xf borderId="3" fillId="0" fontId="3" numFmtId="3" xfId="0" applyAlignment="1" applyBorder="1" applyFont="1" applyNumberFormat="1">
      <alignment horizontal="center" vertical="center"/>
    </xf>
    <xf borderId="3" fillId="0" fontId="1" numFmtId="10" xfId="0" applyAlignment="1" applyBorder="1" applyFont="1" applyNumberFormat="1">
      <alignment horizontal="center"/>
    </xf>
    <xf borderId="3" fillId="4" fontId="3" numFmtId="10" xfId="0" applyAlignment="1" applyBorder="1" applyFill="1" applyFont="1" applyNumberFormat="1">
      <alignment horizontal="center" vertical="center"/>
    </xf>
    <xf borderId="1" fillId="4" fontId="4" numFmtId="0" xfId="0" applyAlignment="1" applyBorder="1" applyFill="1" applyFont="1">
      <alignment horizontal="center" readingOrder="0" shrinkToFit="0" vertical="center" wrapText="0"/>
    </xf>
    <xf borderId="2" fillId="5" fontId="2" numFmtId="0" xfId="0" applyBorder="1" applyFill="1" applyFont="1"/>
    <xf borderId="4" fillId="5" fontId="2" numFmtId="0" xfId="0" applyBorder="1" applyFill="1" applyFont="1"/>
    <xf borderId="3" fillId="5" fontId="1" numFmtId="3" xfId="0" applyAlignment="1" applyBorder="1" applyFill="1" applyFont="1" applyNumberFormat="1">
      <alignment horizontal="center" readingOrder="0" vertical="bottom"/>
    </xf>
    <xf borderId="3" fillId="5" fontId="1" numFmtId="10" xfId="0" applyAlignment="1" applyBorder="1" applyFill="1" applyFont="1" applyNumberFormat="1">
      <alignment horizontal="center"/>
    </xf>
    <xf borderId="0" fillId="4" fontId="4" numFmtId="0" xfId="0" applyAlignment="1" applyFill="1" applyFont="1">
      <alignment horizontal="center" readingOrder="0" shrinkToFit="0" vertical="center" wrapText="0"/>
    </xf>
    <xf borderId="0" fillId="6" fontId="4" numFmtId="0" xfId="0" applyAlignment="1" applyFill="1" applyFont="1">
      <alignment horizontal="center" readingOrder="0" shrinkToFit="0" vertical="center" wrapText="0"/>
    </xf>
    <xf borderId="5" fillId="2" fontId="1" numFmtId="0" xfId="0" applyAlignment="1" applyBorder="1" applyFill="1" applyFont="1">
      <alignment horizontal="center" readingOrder="0"/>
    </xf>
    <xf borderId="6" fillId="6" fontId="2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3" fillId="6" fontId="5" numFmtId="0" xfId="0" applyAlignment="1" applyBorder="1" applyFill="1" applyFont="1">
      <alignment horizontal="center" vertical="bottom"/>
    </xf>
    <xf borderId="3" fillId="6" fontId="1" numFmtId="3" xfId="0" applyAlignment="1" applyBorder="1" applyFill="1" applyFont="1" applyNumberForma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3" fillId="6" fontId="9" numFmtId="0" xfId="0" applyAlignment="1" applyBorder="1" applyFill="1" applyFont="1">
      <alignment horizontal="center" vertical="bottom"/>
    </xf>
    <xf borderId="3" fillId="5" fontId="5" numFmtId="0" xfId="0" applyAlignment="1" applyBorder="1" applyFill="1" applyFont="1">
      <alignment horizontal="center" vertical="bottom"/>
    </xf>
    <xf borderId="3" fillId="5" fontId="10" numFmtId="0" xfId="0" applyAlignment="1" applyBorder="1" applyFill="1" applyFont="1">
      <alignment horizontal="center" vertical="bottom"/>
    </xf>
    <xf borderId="3" fillId="5" fontId="1" numFmtId="3" xfId="0" applyAlignment="1" applyBorder="1" applyFill="1" applyFont="1" applyNumberFormat="1">
      <alignment horizontal="center" vertical="bottom"/>
    </xf>
    <xf borderId="1" fillId="4" fontId="3" numFmtId="0" xfId="0" applyAlignment="1" applyBorder="1" applyFill="1" applyFont="1">
      <alignment horizontal="center" readingOrder="0" shrinkToFit="0" vertical="center" wrapText="0"/>
    </xf>
    <xf borderId="3" fillId="5" fontId="3" numFmtId="3" xfId="0" applyAlignment="1" applyBorder="1" applyFill="1" applyFont="1" applyNumberFormat="1">
      <alignment horizontal="center" readingOrder="0" shrinkToFit="0" vertical="center" wrapText="0"/>
    </xf>
    <xf borderId="1" fillId="7" fontId="11" numFmtId="0" xfId="0" applyAlignment="1" applyBorder="1" applyFill="1" applyFont="1">
      <alignment horizontal="center" readingOrder="0" shrinkToFit="0" vertical="center" wrapText="0"/>
    </xf>
    <xf borderId="3" fillId="4" fontId="3" numFmtId="3" xfId="0" applyAlignment="1" applyBorder="1" applyFill="1" applyFont="1" applyNumberFormat="1">
      <alignment horizontal="center" readingOrder="0" shrinkToFit="0" vertical="center" wrapText="0"/>
    </xf>
    <xf borderId="2" fillId="6" fontId="2" numFmtId="0" xfId="0" applyBorder="1" applyFill="1" applyFont="1"/>
    <xf borderId="4" fillId="6" fontId="2" numFmtId="0" xfId="0" applyBorder="1" applyFill="1" applyFont="1"/>
    <xf borderId="3" fillId="8" fontId="1" numFmtId="3" xfId="0" applyAlignment="1" applyBorder="1" applyFill="1" applyFont="1" applyNumberFormat="1">
      <alignment horizontal="center" readingOrder="0" vertical="bottom"/>
    </xf>
    <xf borderId="3" fillId="7" fontId="1" numFmtId="10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3" fillId="6" fontId="1" numFmtId="0" xfId="0" applyAlignment="1" applyBorder="1" applyFill="1" applyFont="1">
      <alignment vertical="bottom"/>
    </xf>
    <xf borderId="3" fillId="6" fontId="12" numFmtId="0" xfId="0" applyAlignment="1" applyBorder="1" applyFill="1" applyFont="1">
      <alignment horizontal="left" readingOrder="0" shrinkToFit="0" vertical="center" wrapText="0"/>
    </xf>
    <xf borderId="3" fillId="6" fontId="13" numFmtId="0" xfId="0" applyAlignment="1" applyBorder="1" applyFill="1" applyFont="1">
      <alignment vertical="bottom"/>
    </xf>
    <xf borderId="3" fillId="6" fontId="3" numFmtId="3" xfId="0" applyAlignment="1" applyBorder="1" applyFill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3" fillId="0" fontId="1" numFmtId="3" xfId="0" applyAlignment="1" applyBorder="1" applyFont="1" applyNumberFormat="1">
      <alignment horizontal="center"/>
    </xf>
    <xf borderId="3" fillId="5" fontId="1" numFmtId="0" xfId="0" applyAlignment="1" applyBorder="1" applyFill="1" applyFont="1">
      <alignment vertical="bottom"/>
    </xf>
    <xf borderId="3" fillId="5" fontId="14" numFmtId="0" xfId="0" applyAlignment="1" applyBorder="1" applyFill="1" applyFont="1">
      <alignment vertical="bottom"/>
    </xf>
    <xf borderId="3" fillId="5" fontId="15" numFmtId="0" xfId="0" applyAlignment="1" applyBorder="1" applyFill="1" applyFont="1">
      <alignment horizontal="left" readingOrder="0" shrinkToFit="0" vertical="center" wrapText="0"/>
    </xf>
    <xf borderId="3" fillId="5" fontId="3" numFmtId="3" xfId="0" applyAlignment="1" applyBorder="1" applyFill="1" applyFont="1" applyNumberFormat="1">
      <alignment horizontal="center" readingOrder="0" vertical="center"/>
    </xf>
    <xf borderId="3" fillId="4" fontId="3" numFmtId="3" xfId="0" applyAlignment="1" applyBorder="1" applyFill="1" applyFont="1" applyNumberFormat="1">
      <alignment horizontal="center" vertical="center"/>
    </xf>
    <xf borderId="1" fillId="4" fontId="16" numFmtId="0" xfId="0" applyAlignment="1" applyBorder="1" applyFill="1" applyFont="1">
      <alignment horizontal="center" readingOrder="0" shrinkToFit="0" vertical="center" wrapText="0"/>
    </xf>
    <xf borderId="3" fillId="4" fontId="16" numFmtId="3" xfId="0" applyAlignment="1" applyBorder="1" applyFill="1" applyFont="1" applyNumberFormat="1">
      <alignment horizontal="center" vertical="center"/>
    </xf>
    <xf borderId="3" fillId="4" fontId="16" numFmtId="10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horizontal="left" shrinkToFit="0" wrapText="0"/>
    </xf>
    <xf borderId="3" fillId="6" fontId="4" numFmtId="3" xfId="0" applyAlignment="1" applyBorder="1" applyFill="1" applyFont="1" applyNumberFormat="1">
      <alignment horizontal="center" vertical="center"/>
    </xf>
    <xf borderId="3" fillId="0" fontId="4" numFmtId="3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5" fontId="1" numFmtId="0" xfId="0" applyAlignment="1" applyFill="1" applyFont="1">
      <alignment vertical="bottom"/>
    </xf>
    <xf borderId="0" fillId="5" fontId="4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left" readingOrder="0" shrinkToFit="0" vertical="center" wrapText="0"/>
    </xf>
    <xf borderId="3" fillId="0" fontId="1" numFmtId="0" xfId="0" applyAlignment="1" applyBorder="1" applyFont="1">
      <alignment horizontal="center"/>
    </xf>
    <xf borderId="3" fillId="4" fontId="3" numFmtId="0" xfId="0" applyAlignment="1" applyBorder="1" applyFill="1" applyFont="1">
      <alignment horizontal="center" readingOrder="0" vertical="center"/>
    </xf>
    <xf borderId="3" fillId="5" fontId="1" numFmtId="0" xfId="0" applyAlignment="1" applyBorder="1" applyFill="1" applyFont="1">
      <alignment horizontal="center" vertical="bottom"/>
    </xf>
    <xf borderId="8" fillId="0" fontId="3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left" readingOrder="0" shrinkToFit="0" vertical="center" wrapText="0"/>
    </xf>
    <xf borderId="9" fillId="0" fontId="2" numFmtId="0" xfId="0" applyBorder="1" applyFont="1"/>
    <xf borderId="8" fillId="0" fontId="3" numFmtId="0" xfId="0" applyAlignment="1" applyBorder="1" applyFont="1">
      <alignment horizontal="center" readingOrder="0" vertical="center"/>
    </xf>
    <xf borderId="0" fillId="2" fontId="1" numFmtId="0" xfId="0" applyAlignment="1" applyFill="1" applyFont="1">
      <alignment horizontal="center"/>
    </xf>
    <xf borderId="3" fillId="4" fontId="3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center"/>
    </xf>
    <xf borderId="0" fillId="0" fontId="1" numFmtId="0" xfId="0" applyFont="1"/>
    <xf borderId="3" fillId="3" fontId="19" numFmtId="0" xfId="0" applyAlignment="1" applyBorder="1" applyFill="1" applyFont="1">
      <alignment horizontal="center" readingOrder="0" vertical="center"/>
    </xf>
    <xf borderId="3" fillId="3" fontId="4" numFmtId="3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readingOrder="0"/>
    </xf>
    <xf borderId="3" fillId="0" fontId="19" numFmtId="0" xfId="0" applyAlignment="1" applyBorder="1" applyFont="1">
      <alignment horizontal="center" readingOrder="0" vertical="center"/>
    </xf>
    <xf borderId="3" fillId="0" fontId="19" numFmtId="3" xfId="0" applyAlignment="1" applyBorder="1" applyFont="1" applyNumberFormat="1">
      <alignment horizontal="center" vertical="center"/>
    </xf>
    <xf borderId="3" fillId="0" fontId="19" numFmtId="10" xfId="0" applyAlignment="1" applyBorder="1" applyFont="1" applyNumberFormat="1">
      <alignment horizontal="center" vertical="center"/>
    </xf>
    <xf borderId="3" fillId="0" fontId="19" numFmtId="3" xfId="0" applyAlignment="1" applyBorder="1" applyFont="1" applyNumberFormat="1">
      <alignment horizontal="center" readingOrder="0" vertical="center"/>
    </xf>
    <xf borderId="3" fillId="0" fontId="19" numFmtId="10" xfId="0" applyAlignment="1" applyBorder="1" applyFont="1" applyNumberFormat="1">
      <alignment horizontal="center" readingOrder="0" vertical="center"/>
    </xf>
    <xf borderId="3" fillId="4" fontId="19" numFmtId="10" xfId="0" applyAlignment="1" applyBorder="1" applyFill="1" applyFont="1" applyNumberFormat="1">
      <alignment horizontal="center" readingOrder="0" vertical="center"/>
    </xf>
    <xf borderId="3" fillId="3" fontId="17" numFmtId="0" xfId="0" applyAlignment="1" applyBorder="1" applyFill="1" applyFont="1">
      <alignment horizontal="center" readingOrder="0" vertical="center"/>
    </xf>
    <xf borderId="3" fillId="3" fontId="17" numFmtId="0" xfId="0" applyAlignment="1" applyBorder="1" applyFill="1" applyFont="1">
      <alignment horizontal="center" vertical="center"/>
    </xf>
    <xf borderId="3" fillId="0" fontId="17" numFmtId="3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readingOrder="0"/>
    </xf>
    <xf borderId="3" fillId="0" fontId="17" numFmtId="10" xfId="0" applyAlignment="1" applyBorder="1" applyFont="1" applyNumberFormat="1">
      <alignment horizontal="center" readingOrder="0"/>
    </xf>
    <xf borderId="3" fillId="0" fontId="17" numFmtId="0" xfId="0" applyAlignment="1" applyBorder="1" applyFont="1">
      <alignment horizontal="center" readingOrder="0" vertical="center"/>
    </xf>
    <xf borderId="3" fillId="0" fontId="17" numFmtId="10" xfId="0" applyAlignment="1" applyBorder="1" applyFont="1" applyNumberFormat="1">
      <alignment horizontal="center" readingOrder="0" vertical="center"/>
    </xf>
    <xf borderId="3" fillId="0" fontId="17" numFmtId="3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3" fillId="3" fontId="4" numFmtId="0" xfId="0" applyAlignment="1" applyBorder="1" applyFill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3" xfId="0" applyAlignment="1" applyBorder="1" applyFont="1" applyNumberFormat="1">
      <alignment horizontal="center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20" numFmtId="0" xfId="0" applyAlignment="1" applyBorder="1" applyFont="1">
      <alignment horizontal="center" readingOrder="0" shrinkToFit="0" vertical="bottom" wrapText="0"/>
    </xf>
    <xf borderId="3" fillId="0" fontId="17" numFmtId="3" xfId="0" applyAlignment="1" applyBorder="1" applyFont="1" applyNumberFormat="1">
      <alignment horizontal="center" readingOrder="0" shrinkToFit="0" wrapText="0"/>
    </xf>
    <xf borderId="3" fillId="0" fontId="17" numFmtId="0" xfId="0" applyAlignment="1" applyBorder="1" applyFont="1">
      <alignment horizontal="center" readingOrder="0" shrinkToFit="0" wrapText="0"/>
    </xf>
    <xf borderId="3" fillId="0" fontId="17" numFmtId="0" xfId="0" applyAlignment="1" applyBorder="1" applyFont="1">
      <alignment horizontal="center" shrinkToFit="0" wrapText="0"/>
    </xf>
    <xf borderId="3" fillId="0" fontId="17" numFmtId="10" xfId="0" applyAlignment="1" applyBorder="1" applyFont="1" applyNumberFormat="1">
      <alignment horizontal="center" shrinkToFit="0" wrapText="0"/>
    </xf>
    <xf borderId="3" fillId="0" fontId="21" numFmtId="0" xfId="0" applyAlignment="1" applyBorder="1" applyFont="1">
      <alignment horizontal="center" readingOrder="0" shrinkToFit="0" wrapText="0"/>
    </xf>
    <xf borderId="1" fillId="9" fontId="1" numFmtId="0" xfId="0" applyAlignment="1" applyBorder="1" applyFill="1" applyFont="1">
      <alignment horizontal="center" readingOrder="0" shrinkToFit="0" vertical="bottom" wrapText="0"/>
    </xf>
    <xf borderId="3" fillId="9" fontId="17" numFmtId="3" xfId="0" applyAlignment="1" applyBorder="1" applyFill="1" applyFont="1" applyNumberFormat="1">
      <alignment horizontal="center" readingOrder="0" shrinkToFit="0" wrapText="0"/>
    </xf>
    <xf borderId="3" fillId="9" fontId="17" numFmtId="10" xfId="0" applyAlignment="1" applyBorder="1" applyFill="1" applyFont="1" applyNumberFormat="1">
      <alignment horizontal="center" readingOrder="0" shrinkToFit="0" wrapText="0"/>
    </xf>
    <xf borderId="3" fillId="6" fontId="1" numFmtId="3" xfId="0" applyAlignment="1" applyBorder="1" applyFill="1" applyFont="1" applyNumberFormat="1">
      <alignment horizontal="center" vertical="bottom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6" fontId="17" numFmtId="3" xfId="0" applyAlignment="1" applyBorder="1" applyFill="1" applyFont="1" applyNumberFormat="1">
      <alignment horizontal="center" readingOrder="0" shrinkToFit="0" wrapText="0"/>
    </xf>
    <xf borderId="3" fillId="0" fontId="23" numFmtId="0" xfId="0" applyAlignment="1" applyBorder="1" applyFont="1">
      <alignment horizontal="center" readingOrder="0" shrinkToFit="0" wrapText="0"/>
    </xf>
    <xf borderId="3" fillId="3" fontId="4" numFmtId="0" xfId="0" applyAlignment="1" applyBorder="1" applyFill="1" applyFont="1">
      <alignment horizontal="left" shrinkToFit="0" vertical="center" wrapText="0"/>
    </xf>
    <xf borderId="8" fillId="6" fontId="1" numFmtId="0" xfId="0" applyAlignment="1" applyBorder="1" applyFill="1" applyFont="1">
      <alignment horizontal="center" vertical="center"/>
    </xf>
    <xf borderId="8" fillId="6" fontId="1" numFmtId="3" xfId="0" applyAlignment="1" applyBorder="1" applyFill="1" applyFont="1" applyNumberFormat="1">
      <alignment horizontal="center" readingOrder="0" vertical="center"/>
    </xf>
    <xf borderId="3" fillId="6" fontId="1" numFmtId="0" xfId="0" applyAlignment="1" applyBorder="1" applyFill="1" applyFont="1">
      <alignment horizontal="center" readingOrder="0" shrinkToFit="0" vertical="center" wrapText="0"/>
    </xf>
    <xf borderId="3" fillId="6" fontId="24" numFmtId="0" xfId="0" applyAlignment="1" applyBorder="1" applyFill="1" applyFont="1">
      <alignment horizontal="center" shrinkToFit="0" vertical="bottom" wrapText="0"/>
    </xf>
    <xf borderId="1" fillId="9" fontId="5" numFmtId="0" xfId="0" applyAlignment="1" applyBorder="1" applyFill="1" applyFont="1">
      <alignment horizontal="center" readingOrder="0" vertical="bottom"/>
    </xf>
    <xf borderId="3" fillId="6" fontId="4" numFmtId="3" xfId="0" applyAlignment="1" applyBorder="1" applyFill="1" applyFont="1" applyNumberFormat="1">
      <alignment horizontal="center" readingOrder="0" vertical="center"/>
    </xf>
    <xf borderId="3" fillId="0" fontId="4" numFmtId="3" xfId="0" applyAlignment="1" applyBorder="1" applyFont="1" applyNumberFormat="1">
      <alignment horizontal="center" readingOrder="0" vertical="center"/>
    </xf>
    <xf borderId="3" fillId="9" fontId="17" numFmtId="10" xfId="0" applyAlignment="1" applyBorder="1" applyFill="1" applyFont="1" applyNumberFormat="1">
      <alignment horizontal="center" shrinkToFit="0" wrapText="0"/>
    </xf>
    <xf borderId="3" fillId="0" fontId="17" numFmtId="10" xfId="0" applyAlignment="1" applyBorder="1" applyFont="1" applyNumberFormat="1">
      <alignment horizontal="center"/>
    </xf>
    <xf borderId="9" fillId="5" fontId="2" numFmtId="0" xfId="0" applyBorder="1" applyFill="1" applyFont="1"/>
    <xf borderId="3" fillId="5" fontId="1" numFmtId="0" xfId="0" applyAlignment="1" applyBorder="1" applyFill="1" applyFont="1">
      <alignment horizontal="center" readingOrder="0" shrinkToFit="0" vertical="center" wrapText="0"/>
    </xf>
    <xf borderId="3" fillId="6" fontId="25" numFmtId="0" xfId="0" applyAlignment="1" applyBorder="1" applyFill="1" applyFont="1">
      <alignment horizontal="center" readingOrder="0" shrinkToFit="0" vertical="center" wrapText="0"/>
    </xf>
    <xf borderId="3" fillId="5" fontId="26" numFmtId="0" xfId="0" applyAlignment="1" applyBorder="1" applyFill="1" applyFont="1">
      <alignment horizontal="center" readingOrder="0" shrinkToFit="0" vertical="bottom" wrapText="0"/>
    </xf>
    <xf borderId="3" fillId="5" fontId="4" numFmtId="3" xfId="0" applyAlignment="1" applyBorder="1" applyFill="1" applyFont="1" applyNumberFormat="1">
      <alignment horizontal="center" readingOrder="0" vertical="center"/>
    </xf>
    <xf borderId="3" fillId="5" fontId="27" numFmtId="0" xfId="0" applyAlignment="1" applyBorder="1" applyFill="1" applyFont="1">
      <alignment horizontal="center" readingOrder="0" shrinkToFit="0" vertical="center" wrapText="0"/>
    </xf>
    <xf borderId="3" fillId="5" fontId="17" numFmtId="3" xfId="0" applyAlignment="1" applyBorder="1" applyFill="1" applyFont="1" applyNumberFormat="1">
      <alignment horizontal="center" readingOrder="0" shrinkToFit="0" wrapText="0"/>
    </xf>
    <xf borderId="3" fillId="5" fontId="28" numFmtId="0" xfId="0" applyAlignment="1" applyBorder="1" applyFill="1" applyFont="1">
      <alignment horizontal="center" shrinkToFit="0" vertical="bottom" wrapText="0"/>
    </xf>
    <xf borderId="10" fillId="5" fontId="2" numFmtId="0" xfId="0" applyBorder="1" applyFill="1" applyFont="1"/>
    <xf borderId="3" fillId="6" fontId="5" numFmtId="0" xfId="0" applyAlignment="1" applyBorder="1" applyFill="1" applyFont="1">
      <alignment horizontal="center" readingOrder="0" vertical="bottom"/>
    </xf>
    <xf borderId="3" fillId="10" fontId="4" numFmtId="3" xfId="0" applyAlignment="1" applyBorder="1" applyFill="1" applyFont="1" applyNumberFormat="1">
      <alignment horizontal="center" readingOrder="0" vertical="center"/>
    </xf>
    <xf borderId="9" fillId="6" fontId="2" numFmtId="0" xfId="0" applyBorder="1" applyFill="1" applyFont="1"/>
    <xf borderId="3" fillId="6" fontId="29" numFmtId="0" xfId="0" applyAlignment="1" applyBorder="1" applyFill="1" applyFont="1">
      <alignment horizontal="center" readingOrder="0" shrinkToFit="0" vertical="bottom" wrapText="0"/>
    </xf>
    <xf borderId="3" fillId="5" fontId="5" numFmtId="0" xfId="0" applyAlignment="1" applyBorder="1" applyFill="1" applyFont="1">
      <alignment horizontal="center" readingOrder="0" vertical="bottom"/>
    </xf>
    <xf borderId="3" fillId="0" fontId="1" numFmtId="3" xfId="0" applyAlignment="1" applyBorder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center" readingOrder="0"/>
    </xf>
    <xf borderId="3" fillId="10" fontId="17" numFmtId="10" xfId="0" applyAlignment="1" applyBorder="1" applyFill="1" applyFont="1" applyNumberFormat="1">
      <alignment horizontal="center" shrinkToFit="0" wrapText="0"/>
    </xf>
    <xf borderId="3" fillId="0" fontId="30" numFmtId="0" xfId="0" applyAlignment="1" applyBorder="1" applyFont="1">
      <alignment horizontal="center" readingOrder="0" shrinkToFit="0" vertical="bottom" wrapText="0"/>
    </xf>
    <xf borderId="8" fillId="6" fontId="1" numFmtId="3" xfId="0" applyAlignment="1" applyBorder="1" applyFill="1" applyFont="1" applyNumberFormat="1">
      <alignment horizontal="center" vertical="center"/>
    </xf>
    <xf borderId="3" fillId="10" fontId="17" numFmtId="10" xfId="0" applyAlignment="1" applyBorder="1" applyFill="1" applyFont="1" applyNumberFormat="1">
      <alignment horizontal="center"/>
    </xf>
    <xf borderId="3" fillId="6" fontId="1" numFmtId="0" xfId="0" applyAlignment="1" applyBorder="1" applyFill="1" applyFont="1">
      <alignment horizontal="center" readingOrder="0" vertical="bottom"/>
    </xf>
    <xf borderId="3" fillId="5" fontId="1" numFmtId="0" xfId="0" applyAlignment="1" applyBorder="1" applyFill="1" applyFont="1">
      <alignment horizontal="center" readingOrder="0" vertical="bottom"/>
    </xf>
    <xf borderId="3" fillId="10" fontId="17" numFmtId="3" xfId="0" applyAlignment="1" applyBorder="1" applyFill="1" applyFont="1" applyNumberFormat="1">
      <alignment horizontal="center" readingOrder="0" shrinkToFit="0" wrapText="0"/>
    </xf>
    <xf borderId="3" fillId="9" fontId="11" numFmtId="3" xfId="0" applyAlignment="1" applyBorder="1" applyFill="1" applyFont="1" applyNumberFormat="1">
      <alignment horizontal="center" readingOrder="0" vertical="center"/>
    </xf>
    <xf borderId="3" fillId="9" fontId="31" numFmtId="10" xfId="0" applyAlignment="1" applyBorder="1" applyFill="1" applyFont="1" applyNumberFormat="1">
      <alignment horizontal="center"/>
    </xf>
    <xf borderId="0" fillId="0" fontId="17" numFmtId="0" xfId="0" applyAlignment="1" applyFont="1">
      <alignment horizontal="center"/>
    </xf>
    <xf borderId="0" fillId="6" fontId="5" numFmtId="0" xfId="0" applyAlignment="1" applyFill="1" applyFont="1">
      <alignment horizontal="center" readingOrder="0" vertical="bottom"/>
    </xf>
    <xf borderId="0" fillId="6" fontId="17" numFmtId="4" xfId="0" applyAlignment="1" applyFill="1" applyFont="1" applyNumberFormat="1">
      <alignment horizontal="center"/>
    </xf>
    <xf borderId="0" fillId="0" fontId="17" numFmtId="4" xfId="0" applyAlignment="1" applyFont="1" applyNumberFormat="1">
      <alignment horizontal="center"/>
    </xf>
    <xf borderId="0" fillId="6" fontId="17" numFmtId="0" xfId="0" applyAlignment="1" applyFill="1" applyFont="1">
      <alignment horizontal="center"/>
    </xf>
    <xf borderId="6" fillId="5" fontId="2" numFmtId="0" xfId="0" applyBorder="1" applyFill="1" applyFont="1"/>
    <xf borderId="3" fillId="5" fontId="1" numFmtId="0" xfId="0" applyAlignment="1" applyBorder="1" applyFill="1" applyFont="1">
      <alignment horizontal="center" shrinkToFit="0" wrapText="0"/>
    </xf>
    <xf borderId="3" fillId="5" fontId="1" numFmtId="3" xfId="0" applyAlignment="1" applyBorder="1" applyFill="1" applyFont="1" applyNumberFormat="1">
      <alignment horizontal="center" readingOrder="0"/>
    </xf>
    <xf borderId="3" fillId="0" fontId="1" numFmtId="3" xfId="0" applyAlignment="1" applyBorder="1" applyFont="1" applyNumberFormat="1">
      <alignment horizontal="center" readingOrder="0"/>
    </xf>
    <xf borderId="3" fillId="0" fontId="1" numFmtId="10" xfId="0" applyAlignment="1" applyBorder="1" applyFont="1" applyNumberFormat="1">
      <alignment horizontal="center" vertical="bottom"/>
    </xf>
    <xf borderId="3" fillId="6" fontId="1" numFmtId="0" xfId="0" applyAlignment="1" applyBorder="1" applyFill="1" applyFont="1">
      <alignment horizontal="center" shrinkToFit="0" wrapText="0"/>
    </xf>
    <xf borderId="3" fillId="6" fontId="1" numFmtId="3" xfId="0" applyAlignment="1" applyBorder="1" applyFill="1" applyFont="1" applyNumberFormat="1">
      <alignment horizontal="center" readingOrder="0"/>
    </xf>
    <xf borderId="3" fillId="5" fontId="1" numFmtId="0" xfId="0" applyAlignment="1" applyBorder="1" applyFill="1" applyFont="1">
      <alignment horizontal="center" shrinkToFit="0" vertical="bottom" wrapText="0"/>
    </xf>
    <xf borderId="3" fillId="0" fontId="1" numFmtId="3" xfId="0" applyAlignment="1" applyBorder="1" applyFont="1" applyNumberFormat="1">
      <alignment horizontal="center" vertical="bottom"/>
    </xf>
    <xf borderId="3" fillId="6" fontId="1" numFmtId="0" xfId="0" applyAlignment="1" applyBorder="1" applyFill="1" applyFont="1">
      <alignment horizontal="center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17" numFmtId="0" xfId="0" applyAlignment="1" applyFill="1" applyFont="1">
      <alignment horizontal="center" readingOrder="0" shrinkToFit="0" wrapText="0"/>
    </xf>
    <xf borderId="0" fillId="0" fontId="17" numFmtId="0" xfId="0" applyAlignment="1" applyFont="1">
      <alignment shrinkToFit="0" wrapText="0"/>
    </xf>
    <xf borderId="0" fillId="6" fontId="5" numFmtId="0" xfId="0" applyAlignment="1" applyFill="1" applyFont="1">
      <alignment horizontal="center" readingOrder="0" shrinkToFit="0" vertical="bottom" wrapText="0"/>
    </xf>
    <xf borderId="0" fillId="6" fontId="4" numFmtId="4" xfId="0" applyAlignment="1" applyFill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轻松小熊-style">
      <tableStyleElement dxfId="1" type="firstRowStripe"/>
      <tableStyleElement dxfId="2" type="secondRowStripe"/>
    </tableStyle>
    <tableStyle count="2" pivot="0" name="7月chiikawa-style">
      <tableStyleElement dxfId="2" type="firstRowStripe"/>
      <tableStyleElement dxfId="1" type="secondRowStripe"/>
    </tableStyle>
    <tableStyle count="2" pivot="0" name="7月chiikawa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view'!$B$16</c:f>
            </c:strRef>
          </c:tx>
          <c:spPr>
            <a:solidFill>
              <a:srgbClr val="073763"/>
            </a:solidFill>
            <a:ln cmpd="sng">
              <a:noFill/>
            </a:ln>
          </c:spPr>
          <c:dPt>
            <c:idx val="2"/>
          </c:dPt>
          <c:dPt>
            <c:idx val="4"/>
          </c:dPt>
          <c:dPt>
            <c:idx val="8"/>
          </c:dPt>
          <c:dPt>
            <c:idx val="9"/>
          </c:dPt>
          <c:dPt>
            <c:idx val="1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'Overall view'!$A$17:$A$29</c:f>
            </c:strRef>
          </c:cat>
          <c:val>
            <c:numRef>
              <c:f>'Overall view'!$B$17:$B$29</c:f>
              <c:numCache/>
            </c:numRef>
          </c:val>
        </c:ser>
        <c:ser>
          <c:idx val="1"/>
          <c:order val="1"/>
          <c:tx>
            <c:strRef>
              <c:f>'Overall view'!$C$16</c:f>
            </c:strRef>
          </c:tx>
          <c:spPr>
            <a:solidFill>
              <a:srgbClr val="E2007E"/>
            </a:solidFill>
            <a:ln cmpd="sng">
              <a:noFill/>
            </a:ln>
          </c:spPr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'Overall view'!$A$17:$A$29</c:f>
            </c:strRef>
          </c:cat>
          <c:val>
            <c:numRef>
              <c:f>'Overall view'!$C$17:$C$29</c:f>
              <c:numCache/>
            </c:numRef>
          </c:val>
        </c:ser>
        <c:axId val="1154203938"/>
        <c:axId val="702835026"/>
      </c:barChart>
      <c:catAx>
        <c:axId val="1154203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835026"/>
      </c:catAx>
      <c:valAx>
        <c:axId val="702835026"/>
        <c:scaling>
          <c:orientation val="minMax"/>
          <c:max val="77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203938"/>
      </c:valAx>
      <c:lineChart>
        <c:varyColors val="0"/>
        <c:ser>
          <c:idx val="2"/>
          <c:order val="2"/>
          <c:tx>
            <c:strRef>
              <c:f>'Overall view'!$D$16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'Overall view'!$A$17:$A$29</c:f>
            </c:strRef>
          </c:cat>
          <c:val>
            <c:numRef>
              <c:f>'Overall view'!$D$17:$D$29</c:f>
              <c:numCache/>
            </c:numRef>
          </c:val>
          <c:smooth val="0"/>
        </c:ser>
        <c:axId val="1616186674"/>
        <c:axId val="1229069727"/>
      </c:lineChart>
      <c:catAx>
        <c:axId val="161618667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069727"/>
      </c:catAx>
      <c:valAx>
        <c:axId val="1229069727"/>
        <c:scaling>
          <c:orientation val="minMax"/>
          <c:max val="0.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1866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view'!$B$31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2"/>
          </c:dPt>
          <c:dPt>
            <c:idx val="8"/>
          </c:dPt>
          <c:dPt>
            <c:idx val="9"/>
          </c:dPt>
          <c:dPt>
            <c:idx val="10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'Overall view'!$A$32:$A$44</c:f>
            </c:strRef>
          </c:cat>
          <c:val>
            <c:numRef>
              <c:f>'Overall view'!$B$32:$B$44</c:f>
              <c:numCache/>
            </c:numRef>
          </c:val>
        </c:ser>
        <c:axId val="637072976"/>
        <c:axId val="680722569"/>
      </c:barChart>
      <c:catAx>
        <c:axId val="63707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722569"/>
      </c:catAx>
      <c:valAx>
        <c:axId val="680722569"/>
        <c:scaling>
          <c:orientation val="minMax"/>
          <c:max val="5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072976"/>
      </c:valAx>
      <c:lineChart>
        <c:varyColors val="0"/>
        <c:ser>
          <c:idx val="1"/>
          <c:order val="1"/>
          <c:tx>
            <c:strRef>
              <c:f>'Overall view'!$C$31</c:f>
            </c:strRef>
          </c:tx>
          <c:spPr>
            <a:ln cmpd="sng">
              <a:solidFill>
                <a:schemeClr val="accent3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6D0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'Overall view'!$A$32:$A$44</c:f>
            </c:strRef>
          </c:cat>
          <c:val>
            <c:numRef>
              <c:f>'Overall view'!$C$32:$C$44</c:f>
              <c:numCache/>
            </c:numRef>
          </c:val>
          <c:smooth val="0"/>
        </c:ser>
        <c:axId val="632194097"/>
        <c:axId val="1904424694"/>
      </c:lineChart>
      <c:catAx>
        <c:axId val="6321940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424694"/>
      </c:catAx>
      <c:valAx>
        <c:axId val="1904424694"/>
        <c:scaling>
          <c:orientation val="minMax"/>
          <c:max val="0.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1940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18</xdr:row>
      <xdr:rowOff>171450</xdr:rowOff>
    </xdr:from>
    <xdr:ext cx="9096375" cy="4067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447675</xdr:colOff>
      <xdr:row>20</xdr:row>
      <xdr:rowOff>38100</xdr:rowOff>
    </xdr:from>
    <xdr:ext cx="78962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2:E22" displayName="Table_1" name="Table_1" id="1">
  <tableColumns count="2">
    <tableColumn name="Column1" id="1"/>
    <tableColumn name="Column2" id="2"/>
  </tableColumns>
  <tableStyleInfo name="轻松小熊-style" showColumnStripes="0" showFirstColumn="1" showLastColumn="1" showRowStripes="1"/>
</table>
</file>

<file path=xl/tables/table2.xml><?xml version="1.0" encoding="utf-8"?>
<table xmlns="http://schemas.openxmlformats.org/spreadsheetml/2006/main" headerRowCount="0" ref="E10" displayName="Table_2" name="Table_2" id="2">
  <tableColumns count="1">
    <tableColumn name="Column1" id="1"/>
  </tableColumns>
  <tableStyleInfo name="7月chiikawa-style" showColumnStripes="0" showFirstColumn="1" showLastColumn="1" showRowStripes="1"/>
</table>
</file>

<file path=xl/tables/table3.xml><?xml version="1.0" encoding="utf-8"?>
<table xmlns="http://schemas.openxmlformats.org/spreadsheetml/2006/main" headerRowCount="0" ref="E30" displayName="Table_3" name="Table_3" id="3">
  <tableColumns count="1">
    <tableColumn name="Column1" id="1"/>
  </tableColumns>
  <tableStyleInfo name="7月chiikaw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explore/6992dd41000000001b01f983?xsec_token=ABN9_JlGVH1xlUxWLc08LrJndCla71NYVSm1TBcrdJhzI=&amp;xsec_source=pc_user" TargetMode="External"/><Relationship Id="rId22" Type="http://schemas.openxmlformats.org/officeDocument/2006/relationships/hyperlink" Target="https://www.xiaohongshu.com/explore/6996b618000000001a02a7fd?xsec_token=ABzOpHWdru-TfnEFtUvLCJicFLjCo610JDG4_nIobJ0Ts=&amp;xsec_source=pc_user" TargetMode="External"/><Relationship Id="rId21" Type="http://schemas.openxmlformats.org/officeDocument/2006/relationships/hyperlink" Target="https://www.xiaohongshu.com/explore/69958717000000000e00fd61?xsec_token=ABM4N7yCwZDUxX9Kr9KQwkaoucJpiPTeZ2FadRo41-auw=&amp;xsec_source=pc_user" TargetMode="External"/><Relationship Id="rId24" Type="http://schemas.openxmlformats.org/officeDocument/2006/relationships/hyperlink" Target="https://www.douyin.com/user/MS4wLjABAAAAPZ9TSdSq_VFCWtZdNGDK-yv0Bl6YBD2oMg2Hfeixra8UwPT1ETWlXvJzrIBFJsub?from_tab_name=main&amp;modal_id=7602273374781395711" TargetMode="External"/><Relationship Id="rId23" Type="http://schemas.openxmlformats.org/officeDocument/2006/relationships/hyperlink" Target="https://www.xiaohongshu.com/explore/69953ad9000000000a03e3d4?xsec_token=ABM4N7yCwZDUxX9Kr9KQwkaiuzZnbZoWN5bYtL2BXiP4g=&amp;xsec_source=pc_user" TargetMode="External"/><Relationship Id="rId1" Type="http://schemas.openxmlformats.org/officeDocument/2006/relationships/hyperlink" Target="https://www.xiaohongshu.com/explore/6980b20d000000001a02ff3d?xsec_token=AB79jKHm2D3YDDCbtKJNSPyba6wFUn9Um93WA6ulqC4FA=&amp;xsec_source=pc_user" TargetMode="External"/><Relationship Id="rId2" Type="http://schemas.openxmlformats.org/officeDocument/2006/relationships/hyperlink" Target="https://www.xiaohongshu.com/explore/697d7fa1000000001a0309e5?xsec_token=ABWQekhs142jMHlkx4FptHNUX5gAQiMZattBEB0XJ3kr4=&amp;xsec_source=pc_user" TargetMode="External"/><Relationship Id="rId3" Type="http://schemas.openxmlformats.org/officeDocument/2006/relationships/hyperlink" Target="https://www.xiaohongshu.com/explore/69807194000000000a02ac7c?xsec_token=AB79jKHm2D3YDDCbtKJNSPyeQzcaQG7dpJQsSZ8MY7xcM=&amp;xsec_source=pc_user" TargetMode="External"/><Relationship Id="rId4" Type="http://schemas.openxmlformats.org/officeDocument/2006/relationships/hyperlink" Target="https://www.xiaohongshu.com/explore/69788f5f0000000021028049?xsec_token=ABtCrkhYqOzoE1ZQCImpBlcZ0BKZIo6RBaqjkwu3_lsSQ=&amp;xsec_source=pc_user" TargetMode="External"/><Relationship Id="rId9" Type="http://schemas.openxmlformats.org/officeDocument/2006/relationships/hyperlink" Target="https://www.xiaohongshu.com/explore/6989a7a5000000000e00ef64?xsec_token=AB-SlM_6Hm25d-i4V73cebdx48bS4tzMxZAGBfwJ76gKk=&amp;xsec_source=pc_user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xiaohongshu.com/explore/698c25d4000000002801cd1d?xsec_token=ABq_7vmhQWuavFdk78N0dsldvQoECc22RxIPRCrPEF7ag=&amp;xsec_source=pc_user" TargetMode="External"/><Relationship Id="rId6" Type="http://schemas.openxmlformats.org/officeDocument/2006/relationships/hyperlink" Target="https://www.xiaohongshu.com/explore/6978296b000000000c036257?xsec_token=ABI-n7EcR5DlLNseOHhRKnNC8avzNXjkDZu0jTczQ5dZY=&amp;xsec_source=pc_user" TargetMode="External"/><Relationship Id="rId7" Type="http://schemas.openxmlformats.org/officeDocument/2006/relationships/hyperlink" Target="https://www.xiaohongshu.com/explore/698219a0000000000c035faf?xsec_token=ABxCzltws1D2EnRy06XZit8K4Gep4fsF4LcAj_GQrP0Cw=&amp;xsec_source=pc_user" TargetMode="External"/><Relationship Id="rId8" Type="http://schemas.openxmlformats.org/officeDocument/2006/relationships/hyperlink" Target="https://www.xiaohongshu.com/explore/69898057000000000e03d5aa?xsec_token=AB-SlM_6Hm25d-i4V73cebd0v358LVljhfTlxttVdV5mk=&amp;xsec_source=pc_user" TargetMode="External"/><Relationship Id="rId11" Type="http://schemas.openxmlformats.org/officeDocument/2006/relationships/hyperlink" Target="https://www.xiaohongshu.com/explore/698c48c4000000000e03cc88?xsec_token=ABq_7vmhQWuavFdk78N0dslWzNoQAGtexSQuTjK1A6O2k=&amp;xsec_source=pc_user" TargetMode="External"/><Relationship Id="rId10" Type="http://schemas.openxmlformats.org/officeDocument/2006/relationships/hyperlink" Target="https://www.xiaohongshu.com/explore/698b3f44000000001a02f7bf?xsec_token=ABr2a4UcBF9eSGqH8oUHJy2mGj2Oaz0kze-hVER9vHG_E=&amp;xsec_source=pc_user" TargetMode="External"/><Relationship Id="rId13" Type="http://schemas.openxmlformats.org/officeDocument/2006/relationships/hyperlink" Target="https://www.xiaohongshu.com/explore/698c80f6000000000b00b112?xsec_token=ABq_7vmhQWuavFdk78N0dslVOgBo15THLnBHzGDt3uWUk=&amp;xsec_source=pc_user" TargetMode="External"/><Relationship Id="rId12" Type="http://schemas.openxmlformats.org/officeDocument/2006/relationships/hyperlink" Target="https://www.xiaohongshu.com/explore/698abcae000000000a03ef4a?xsec_token=ABN4M7sRw4QvZc7yWyxiFUr0tLpGyXHFy1ycTcX0YEay0=&amp;xsec_source=pc_user" TargetMode="External"/><Relationship Id="rId15" Type="http://schemas.openxmlformats.org/officeDocument/2006/relationships/hyperlink" Target="https://www.xiaohongshu.com/explore/698adadf000000001d0255a3?app_platform=ios&amp;app_version=9.8&amp;share_from_user_hidden=true&amp;xsec_source=app_share&amp;type=normal&amp;xsec_token=CB_jaoCdXK22gXhGoLkurNFc-tKSSYlxpqlPJzxqrqSPM=&amp;author_share=1&amp;xhsshare=CopyLink&amp;shareRedId=ODY5NTc2OEs2NzUyOTgwNjY0OTc5ODxL&amp;apptime=1770708030&amp;share_id=50206081e8c74c8ebb25b489781dc809" TargetMode="External"/><Relationship Id="rId14" Type="http://schemas.openxmlformats.org/officeDocument/2006/relationships/hyperlink" Target="https://www.xiaohongshu.com/explore/698ca7b2000000002801c078?xsec_token=ABq_7vmhQWuavFdk78N0dslaQrbT6uP0czOTktwV1lcGI=&amp;xsec_source=pc_user" TargetMode="External"/><Relationship Id="rId17" Type="http://schemas.openxmlformats.org/officeDocument/2006/relationships/hyperlink" Target="https://www.xiaohongshu.com/explore/698a8bd4000000000e00c3d2?xsec_token=ABN4M7sRw4QvZc7yWyxiFUr3dSa9Q5P3xRK_uLDZRbF-M=&amp;xsec_source=pc_user" TargetMode="External"/><Relationship Id="rId16" Type="http://schemas.openxmlformats.org/officeDocument/2006/relationships/hyperlink" Target="https://www.xiaohongshu.com/explore/69916a89000000000e00da13?xsec_token=ABpQj_9vfjaUyCFxxyoMxRsN1cYoRh4-xdotriUiMVAZI=&amp;xsec_source=pc_user" TargetMode="External"/><Relationship Id="rId19" Type="http://schemas.openxmlformats.org/officeDocument/2006/relationships/hyperlink" Target="https://www.xiaohongshu.com/explore/699567f3000000001a01d0a1?xsec_token=ABM4N7yCwZDUxX9Kr9KQwkare-B8d_rQa0fRt151DRhIw=&amp;xsec_source=pc_user" TargetMode="External"/><Relationship Id="rId18" Type="http://schemas.openxmlformats.org/officeDocument/2006/relationships/hyperlink" Target="https://www.xiaohongshu.com/explore/6992cff8000000000b00a7d4?xsec_token=ABN9_JlGVH1xlUxWLc08LrJvEwN3z5bOlS4gI-7ovlqiY=&amp;xsec_source=pc_user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explore/69ce2491000000001b0023d3?xsec_token=AB-ee9ATMc6EmMKhkQqT_kbT2mt8HfdQj98jobG6sYVsE=&amp;xsec_source=pc_user" TargetMode="External"/><Relationship Id="rId22" Type="http://schemas.openxmlformats.org/officeDocument/2006/relationships/hyperlink" Target="https://www.xiaohongshu.com/explore/69cb933d00000000220263de?xsec_token=ABSD3ai7_bLiJUrw2ZPMxlV-OdMYKPS24Xz8hTBBGpp_Y=&amp;xsec_source=pc_user" TargetMode="External"/><Relationship Id="rId21" Type="http://schemas.openxmlformats.org/officeDocument/2006/relationships/hyperlink" Target="https://xhslink.com/m/3kP3s2wmMhv" TargetMode="External"/><Relationship Id="rId24" Type="http://schemas.openxmlformats.org/officeDocument/2006/relationships/hyperlink" Target="https://xhslink.com/m/9DcBTUNyf7C" TargetMode="External"/><Relationship Id="rId23" Type="http://schemas.openxmlformats.org/officeDocument/2006/relationships/hyperlink" Target="https://www.xiaohongshu.com/explore/69cbb221000000001e00c196?xsec_token=ABSD3ai7_bLiJUrw2ZPMxlVyK2gtTgczKT6QrM7FsBGSc=&amp;xsec_source=pc_user" TargetMode="External"/><Relationship Id="rId1" Type="http://schemas.openxmlformats.org/officeDocument/2006/relationships/hyperlink" Target="https://www.xiaohongshu.com/explore/69d26c05000000001a02b081?xsec_token=ABLqctNePV4aOw0hPz1QgDyv1oR1qdVZ3LqZ0SXTMKh8U=&amp;xsec_source=pc_user" TargetMode="External"/><Relationship Id="rId2" Type="http://schemas.openxmlformats.org/officeDocument/2006/relationships/hyperlink" Target="https://www.xiaohongshu.com/explore/69d24bbb000000002200e767?xsec_token=ABLqctNePV4aOw0hPz1QgDynBkmms-lwFTAdIaAq0LpAE=&amp;xsec_source=pc_user" TargetMode="External"/><Relationship Id="rId3" Type="http://schemas.openxmlformats.org/officeDocument/2006/relationships/hyperlink" Target="https://www.xiaohongshu.com/explore/69d23a390000000023021cd5?xsec_token=ABLqctNePV4aOw0hPz1QgDyhfay02O7HOCoRbe4TFmYLI=&amp;xsec_source=pc_user" TargetMode="External"/><Relationship Id="rId4" Type="http://schemas.openxmlformats.org/officeDocument/2006/relationships/hyperlink" Target="https://www.xiaohongshu.com/explore/69cf50f30000000023006216?xsec_token=ABixbG1JQeO1q96JFJcaOa-k4J-pkDoRVGYPSAR6BFuBc=&amp;xsec_source=pc_user" TargetMode="External"/><Relationship Id="rId9" Type="http://schemas.openxmlformats.org/officeDocument/2006/relationships/hyperlink" Target="https://www.xiaohongshu.com/explore/69cddbf9000000002301dfe9?xsec_token=AB7f9PMFcLjLy2Uxi18K2sKCYSpMwa44uKePD31qdjs2Q=&amp;xsec_source=pc_user" TargetMode="External"/><Relationship Id="rId26" Type="http://schemas.openxmlformats.org/officeDocument/2006/relationships/hyperlink" Target="https://xhslink.com/m/5W9MFhwFPjU" TargetMode="External"/><Relationship Id="rId25" Type="http://schemas.openxmlformats.org/officeDocument/2006/relationships/hyperlink" Target="https://www.xiaohongshu.com/explore/69d5dd8b000000001d01cd3e?xsec_token=ABQuJxQ7p4AiyW0p3MgvAwqjay2RdE-qqGGLIZCBbVnyw=&amp;xsec_source=pc_user" TargetMode="External"/><Relationship Id="rId28" Type="http://schemas.openxmlformats.org/officeDocument/2006/relationships/hyperlink" Target="https://xhslink.com/m/74ZgEAGaOEb" TargetMode="External"/><Relationship Id="rId27" Type="http://schemas.openxmlformats.org/officeDocument/2006/relationships/hyperlink" Target="https://www.xiaohongshu.com/explore/69cb7b8a000000001b0011e1?xsec_token=ABSD3ai7_bLiJUrw2ZPMxlV9eKyR5bNUfDtKrokUmbgyk=&amp;xsec_source=pc_user" TargetMode="External"/><Relationship Id="rId5" Type="http://schemas.openxmlformats.org/officeDocument/2006/relationships/hyperlink" Target="https://www.xiaohongshu.com/explore/69cf9c0c000000001a03325f?xsec_token=ABixbG1JQeO1q96JFJcaOa-ui373iun0CPOPKofBUL3Gw=&amp;xsec_source=pc_user" TargetMode="External"/><Relationship Id="rId6" Type="http://schemas.openxmlformats.org/officeDocument/2006/relationships/hyperlink" Target="https://www.xiaohongshu.com/explore/69d76c45000000001f0029d5?xsec_token=ABs0iKR1OL4fgT90XsEbpLi6zCDC4iGIOrLSsoPhPFGD0=&amp;xsec_source=pc_user" TargetMode="External"/><Relationship Id="rId29" Type="http://schemas.openxmlformats.org/officeDocument/2006/relationships/hyperlink" Target="https://www.xiaohongshu.com/explore/69ce170f000000001b0235e0?xsec_token=AB-ee9ATMc6EmMKhkQqT_kbbrFitf6alStUHjaTCRpHS0=&amp;xsec_source=pc_user" TargetMode="External"/><Relationship Id="rId7" Type="http://schemas.openxmlformats.org/officeDocument/2006/relationships/hyperlink" Target="https://www.xiaohongshu.com/explore/69d5ebf20000000023005351?xsec_token=ABQuJxQ7p4AiyW0p3MgvAwqo7SqiCUUZ5fc1w8zH31ygs=&amp;xsec_source=pc_user" TargetMode="External"/><Relationship Id="rId8" Type="http://schemas.openxmlformats.org/officeDocument/2006/relationships/hyperlink" Target="https://www.xiaohongshu.com/explore/69cf3db70000000021011659?xsec_token=ABixbG1JQeO1q96JFJcaOa-kx9Afdy7yFMaqjhnInpPTs=&amp;xsec_source=pc_user" TargetMode="External"/><Relationship Id="rId31" Type="http://schemas.openxmlformats.org/officeDocument/2006/relationships/hyperlink" Target="https://www.xiaohongshu.com/explore/69cb9a68000000002200f9ee?xsec_token=ABSD3ai7_bLiJUrw2ZPMxlV94iL7OFR4fomGBXBKNG18o=&amp;xsec_source=pc_user" TargetMode="External"/><Relationship Id="rId30" Type="http://schemas.openxmlformats.org/officeDocument/2006/relationships/hyperlink" Target="https://www.xiaohongshu.com/user/profile/5bff9b1244363b0946ea0a0d?xsec_token=YBaBCqR7y-ThxzKbZ6l3IWzcmKZMqWIrmFW4znMJZsg5w=&amp;xsec_source=app_share&amp;xhsshare=CopyLink&amp;shareRedId=ODhFNjw3PT82NzUyOTgwNjY1OTc1OkxL&amp;apptime=1774940035&amp;share_id=e080f1ee6f3f4ab583f569d1491d3ce2" TargetMode="External"/><Relationship Id="rId11" Type="http://schemas.openxmlformats.org/officeDocument/2006/relationships/hyperlink" Target="https://www.xiaohongshu.com/explore/69ccd4730000000022026e9b?xsec_token=ABl88-UCE4UwAV8Q4WfQvjyDV1quLtrzgFp4-Z6VaOZ3s=&amp;xsec_source=pc_user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s://www.xiaohongshu.com/explore/69ccaeb6000000001e00c05a?xsec_token=AB5xnEwiKbqYoHJ_v2Ky6A-HseOp_ix3ybNLBjjdRZPDU=&amp;xsec_source=pc_user" TargetMode="External"/><Relationship Id="rId32" Type="http://schemas.openxmlformats.org/officeDocument/2006/relationships/hyperlink" Target="https://www.xiaohongshu.com/explore/69cc765c000000001b00370f?xsec_token=AB-9lptJOxdX4pLFSiljo_S_pfCUCraBzZW-WkuotN2Iw=&amp;xsec_source=pc_user" TargetMode="External"/><Relationship Id="rId13" Type="http://schemas.openxmlformats.org/officeDocument/2006/relationships/hyperlink" Target="https://xhslink.com/m/23ry428E2YB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www.xiaohongshu.com/explore/69ccd7d3000000001d018cc6?xsec_token=ABl88-UCE4UwAV8Q4WfQvjyIF-R2hzlLRXURoPwwta0Pc=&amp;xsec_source=pc_user" TargetMode="External"/><Relationship Id="rId15" Type="http://schemas.openxmlformats.org/officeDocument/2006/relationships/hyperlink" Target="https://xhslink.com/m/8t3jzSElgGR" TargetMode="External"/><Relationship Id="rId14" Type="http://schemas.openxmlformats.org/officeDocument/2006/relationships/hyperlink" Target="https://www.xiaohongshu.com/explore/69cb9bd8000000001d01e074?xsec_token=ABSD3ai7_bLiJUrw2ZPMxlVyUQ_wZ9SD285-Q5TBU3Ltk=&amp;xsec_source=pc_user" TargetMode="External"/><Relationship Id="rId17" Type="http://schemas.openxmlformats.org/officeDocument/2006/relationships/hyperlink" Target="https://xhslink.com/m/2WVntaimG4R" TargetMode="External"/><Relationship Id="rId16" Type="http://schemas.openxmlformats.org/officeDocument/2006/relationships/hyperlink" Target="https://www.xiaohongshu.com/explore/69cb766e000000002200e1a0?xsec_token=ABSD3ai7_bLiJUrw2ZPMxlV9yreOpnAUJLvr85-ct8a4M=&amp;xsec_source=pc_user" TargetMode="External"/><Relationship Id="rId19" Type="http://schemas.openxmlformats.org/officeDocument/2006/relationships/hyperlink" Target="https://xhslink.com/m/6l5an8vtB8j" TargetMode="External"/><Relationship Id="rId18" Type="http://schemas.openxmlformats.org/officeDocument/2006/relationships/hyperlink" Target="https://www.xiaohongshu.com/explore/69cba777000000001b023295?xsec_token=ABSD3ai7_bLiJUrw2ZPMxlV7CMKqq40yBJfGCI7Zp76jM=&amp;xsec_source=pc_user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explore/69f1bb61000000003502ae22?xsec_token=ABIo5wpN4Ss-FIsNkYtE4VwMztgAh1zpuAda4NpyFHIfE=&amp;xsec_source=pc_user" TargetMode="External"/><Relationship Id="rId21" Type="http://schemas.openxmlformats.org/officeDocument/2006/relationships/drawing" Target="../drawings/drawing4.xml"/><Relationship Id="rId1" Type="http://schemas.openxmlformats.org/officeDocument/2006/relationships/hyperlink" Target="https://www.xiaohongshu.com/explore/69f46507000000003601884c?xsec_token=AB-F8DPGUKuchtwJvHDhgYBMZwn_n82IeyrmabWat6iDw=&amp;xsec_source=pc_user" TargetMode="External"/><Relationship Id="rId2" Type="http://schemas.openxmlformats.org/officeDocument/2006/relationships/hyperlink" Target="https://www.xiaohongshu.com/explore/69f4973000000000370349e1?xsec_token=AB-F8DPGUKuchtwJvHDhgYBBoE9-0h61dl9TUhmR_MVsY=&amp;xsec_source=pc_user" TargetMode="External"/><Relationship Id="rId3" Type="http://schemas.openxmlformats.org/officeDocument/2006/relationships/hyperlink" Target="https://www.xiaohongshu.com/explore/69f48de6000000002301f4c5?xsec_token=AB-F8DPGUKuchtwJvHDhgYBJipdTmuvG2BueCfT_DIxDA=&amp;xsec_source=pc_user" TargetMode="External"/><Relationship Id="rId4" Type="http://schemas.openxmlformats.org/officeDocument/2006/relationships/hyperlink" Target="https://www.xiaohongshu.com/explore/69f865bb00000000350236ae?xsec_token=ABho2tZV5sXdrbGidyyDGm-cnNvvSsxkrwcKazRJ6bDSc=&amp;xsec_source=pc_user" TargetMode="External"/><Relationship Id="rId9" Type="http://schemas.openxmlformats.org/officeDocument/2006/relationships/hyperlink" Target="https://www.xiaohongshu.com/explore/69f21d8c000000001b022d84?xsec_token=ABckMioKmISF__kFIyN1HMSlDxOkEdbaBb-zhtcWypk9M=&amp;xsec_source=pc_user" TargetMode="External"/><Relationship Id="rId5" Type="http://schemas.openxmlformats.org/officeDocument/2006/relationships/hyperlink" Target="https://www.xiaohongshu.com/explore/69f9c808000000003601c02c?xsec_token=ABGzzB92VFKM6dJn3kS-SijzKfJxk3v4gdsiVjY9-VaS4=&amp;xsec_source=pc_user" TargetMode="External"/><Relationship Id="rId6" Type="http://schemas.openxmlformats.org/officeDocument/2006/relationships/hyperlink" Target="https://www.xiaohongshu.com/explore/69f9f1d20000000022027fdf?xsec_token=ABGzzB92VFKM6dJn3kS-Sij_KaqAPKr3Zkb5KfKfeTW28=&amp;xsec_source=pc_user" TargetMode="External"/><Relationship Id="rId7" Type="http://schemas.openxmlformats.org/officeDocument/2006/relationships/hyperlink" Target="https://www.xiaohongshu.com/explore/69f2ca500000000037036eb9?xsec_token=ABckMioKmISF__kFIyN1HMSheJqmFE9-tAuaQXBNuBhpU=&amp;xsec_source=pc_user" TargetMode="External"/><Relationship Id="rId8" Type="http://schemas.openxmlformats.org/officeDocument/2006/relationships/hyperlink" Target="https://www.xiaohongshu.com/explore/69f33c57000000003501c1df?xsec_token=ABNk_guAaBo3jT9jsCZwtwtBmEQS-GtJYr_HVUTHD0LrI=&amp;xsec_source=pc_user" TargetMode="External"/><Relationship Id="rId11" Type="http://schemas.openxmlformats.org/officeDocument/2006/relationships/hyperlink" Target="https://www.xiaohongshu.com/explore/69f2237e000000002301c319?xsec_token=ABckMioKmISF__kFIyN1HMSlGhQprWA-8riF_3hu8URUg=&amp;xsec_source=pc_user" TargetMode="External"/><Relationship Id="rId10" Type="http://schemas.openxmlformats.org/officeDocument/2006/relationships/hyperlink" Target="https://www.xiaohongshu.com/explore/69f2f7ed0000000022024977?xsec_token=ABckMioKmISF__kFIyN1HMSkloiOFFAXo-gd8hztKD424=&amp;xsec_source=pc_user" TargetMode="External"/><Relationship Id="rId13" Type="http://schemas.openxmlformats.org/officeDocument/2006/relationships/hyperlink" Target="https://www.xiaohongshu.com/explore/69f1d12c000000003601922b?xsec_token=ABIo5wpN4Ss-FIsNkYtE4VwLd4IuU1KhZu9-OKxQY4nhM=&amp;xsec_source=pc_user" TargetMode="External"/><Relationship Id="rId12" Type="http://schemas.openxmlformats.org/officeDocument/2006/relationships/hyperlink" Target="https://www.xiaohongshu.com/explore/69f1e7640000000036002f5a?xsec_token=ABIo5wpN4Ss-FIsNkYtE4VwATXkJ8RaEzEebn3okJBhf8=&amp;xsec_source=pc_user" TargetMode="External"/><Relationship Id="rId15" Type="http://schemas.openxmlformats.org/officeDocument/2006/relationships/hyperlink" Target="https://www.xiaohongshu.com/explore/69f1d97c000000002301c983?xsec_token=ABIo5wpN4Ss-FIsNkYtE4VwFV6tLTRJsOLmBZNfLUf4l8=&amp;xsec_source=pc_user" TargetMode="External"/><Relationship Id="rId14" Type="http://schemas.openxmlformats.org/officeDocument/2006/relationships/hyperlink" Target="https://www.xiaohongshu.com/explore/69f1d2b1000000003701f98f?xsec_token=ABIo5wpN4Ss-FIsNkYtE4VwFVpNNbqTegjgeaDGqCALoI=&amp;xsec_source=pc_user" TargetMode="External"/><Relationship Id="rId17" Type="http://schemas.openxmlformats.org/officeDocument/2006/relationships/hyperlink" Target="https://www.xiaohongshu.com/explore/69f1c156000000001a0367d4?xsec_token=ABIo5wpN4Ss-FIsNkYtE4VwLTn3evTd5B8ghooxq8olTM=&amp;xsec_source=pc_user" TargetMode="External"/><Relationship Id="rId16" Type="http://schemas.openxmlformats.org/officeDocument/2006/relationships/hyperlink" Target="https://www.xiaohongshu.com/explore/69f1c7eb000000003501ebff?xsec_token=ABIo5wpN4Ss-FIsNkYtE4VwMpFwpGtgyRGbARX29Toc0k=&amp;xsec_source=pc_user" TargetMode="External"/><Relationship Id="rId19" Type="http://schemas.openxmlformats.org/officeDocument/2006/relationships/hyperlink" Target="https://www.xiaohongshu.com/explore/69f1b9030000000035024f38?xsec_token=ABIo5wpN4Ss-FIsNkYtE4VwA9VDSl_ojyrUoR3wKbI7y0=&amp;xsec_source=pc_user" TargetMode="External"/><Relationship Id="rId18" Type="http://schemas.openxmlformats.org/officeDocument/2006/relationships/hyperlink" Target="https://www.xiaohongshu.com/explore/69f1d22b000000003700de9c?xsec_token=ABIo5wpN4Ss-FIsNkYtE4VwE8FT-kyCpw1Ibzud6w6Iaw=&amp;xsec_source=pc_user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discovery/item/6a4fad370000000006034746?source=webshare&amp;xhsshare=pc_web&amp;xsec_token=CBxKcCMVe2gu9cFYm7mADwcw8tEsLarnvO61U9xo_Qqes=&amp;xsec_source=pc_share" TargetMode="External"/><Relationship Id="rId22" Type="http://schemas.openxmlformats.org/officeDocument/2006/relationships/hyperlink" Target="https://www.xiaohongshu.com/discovery/item/6a4f971a0000000008025318?source=webshare&amp;xhsshare=pc_web&amp;xsec_token=CBBs-Xor_UYfeSOH85OssSpm-bXuqcFNuZV8gvtNwBF1M=&amp;xsec_source=pc_share" TargetMode="External"/><Relationship Id="rId21" Type="http://schemas.openxmlformats.org/officeDocument/2006/relationships/hyperlink" Target="https://www.xiaohongshu.com/discovery/item/6a4f7d54000000001c024e20?source=webshare&amp;xhsshare=pc_web&amp;xsec_token=CBai3vIzenRWovDejGC_mxWb4lH68JpA4v9Kjuhx6s3R0=&amp;xsec_source=pc_share" TargetMode="External"/><Relationship Id="rId24" Type="http://schemas.openxmlformats.org/officeDocument/2006/relationships/hyperlink" Target="https://www.xiaohongshu.com/discovery/item/6a4f8de9000000001702feca?source=webshare&amp;xhsshare=pc_web&amp;xsec_token=AB1StKjf1ByZfwsZjWTzhwqvTW-gIKfn1V41i7wL88C40=&amp;xsec_source=pc_sharee" TargetMode="External"/><Relationship Id="rId23" Type="http://schemas.openxmlformats.org/officeDocument/2006/relationships/hyperlink" Target="https://www.xiaohongshu.com/discovery/item/6a4f6f1f000000001702f58f?source=webshare&amp;xhsshare=pc_web&amp;xsec_token=CBeYn2695lmpPo87qgVroeNxDGnhQbgU9uvNUq5ri7KIY=&amp;xsec_source=pc_share" TargetMode="External"/><Relationship Id="rId1" Type="http://schemas.openxmlformats.org/officeDocument/2006/relationships/hyperlink" Target="https://www.xiaohongshu.com/discovery/item/6a4f46a2000000002003bb59?source=webshare&amp;xhsshare=pc_web&amp;xsec_token=AB1StKjf1ByZfwsZjWTzhwqru0TK_L7NXtyCH0nSvwcq8=&amp;xsec_source=pc_share" TargetMode="External"/><Relationship Id="rId2" Type="http://schemas.openxmlformats.org/officeDocument/2006/relationships/hyperlink" Target="https://www.xiaohongshu.com/explore/6a54bb120000000021016e71?xsec_token=ABPI8z_i0iLSUJLna1stFWxwFB6J_wVD0OgGi_Y-xn2OY=&amp;xsec_source=pc_user" TargetMode="External"/><Relationship Id="rId3" Type="http://schemas.openxmlformats.org/officeDocument/2006/relationships/hyperlink" Target="https://www.xiaohongshu.com/explore/6a54590e00000000060308a5?xsec_token=ABPI8z_i0iLSUJLna1stFWxwXmGHw9qOHrwXSo79pFz2Q=&amp;xsec_source=pc_user" TargetMode="External"/><Relationship Id="rId4" Type="http://schemas.openxmlformats.org/officeDocument/2006/relationships/hyperlink" Target="https://www.xiaohongshu.com/discovery/item/6a4f6063000000001102e63b?source=webshare&amp;xhsshare=pc_web&amp;xsec_token=AB1StKjf1ByZfwsZjWTzhwqpt9b5fAg35Hcpw7fjR7hJs=&amp;xsec_source=pc_sharee" TargetMode="External"/><Relationship Id="rId9" Type="http://schemas.openxmlformats.org/officeDocument/2006/relationships/hyperlink" Target="https://www.xiaohongshu.com/explore/6a5a41c5000000000503b462?xsec_token=ABXt8rjP2aRh-X5AbfHvnP9RK82SHiWpAl_37V2e081ys=&amp;xsec_source=pc_search" TargetMode="External"/><Relationship Id="rId26" Type="http://schemas.openxmlformats.org/officeDocument/2006/relationships/hyperlink" Target="https://www.xiaohongshu.com/discovery/item/6a4f8824000000000f01665f?source=webshare&amp;xhsshare=pc_web&amp;xsec_token=CB1gBl8i2XVCJ8zw8dem76CZZ85VNJVekNQmFSXp_Tr2A=&amp;xsec_source=pc_share" TargetMode="External"/><Relationship Id="rId25" Type="http://schemas.openxmlformats.org/officeDocument/2006/relationships/hyperlink" Target="https://www.xiaohongshu.com/discovery/item/6a4f61dc000000002100b4d6?source=webshare&amp;xhsshare=pc_web&amp;xsec_token=CBADRRDBsDwh5q2JerT4QyqVL_9dMxSPRUUwirlFviwhc=&amp;xsec_source=pc_share" TargetMode="External"/><Relationship Id="rId28" Type="http://schemas.openxmlformats.org/officeDocument/2006/relationships/hyperlink" Target="https://www.xiaohongshu.com/explore/6a4f19f3000000001700acba?xsec_token=ABYDON0nC1F8Z-OmyjIh12ymJjmHD7Pgg3doGN10LGIqA=&amp;xsec_source=pc_user" TargetMode="External"/><Relationship Id="rId27" Type="http://schemas.openxmlformats.org/officeDocument/2006/relationships/hyperlink" Target="https://www.xiaohongshu.com/explore/6a4f21e3000000001702aab8?xsec_token=ABYDON0nC1F8Z-OmyjIh12yik5zn0v5OPWRV5M2QK-5vM=&amp;xsec_source=pc_user" TargetMode="External"/><Relationship Id="rId5" Type="http://schemas.openxmlformats.org/officeDocument/2006/relationships/hyperlink" Target="http://xhslink.com/o/7Eq9rzfWLN4" TargetMode="External"/><Relationship Id="rId6" Type="http://schemas.openxmlformats.org/officeDocument/2006/relationships/hyperlink" Target="https://www.xiaohongshu.com/explore/6a50d0e40000000007011233?xsec_token=ABqc0RKty1JqWEos57qQURvV6HEQK31STHzku58AEh39o=&amp;xsec_source=pc_user" TargetMode="External"/><Relationship Id="rId29" Type="http://schemas.openxmlformats.org/officeDocument/2006/relationships/drawing" Target="../drawings/drawing5.xml"/><Relationship Id="rId7" Type="http://schemas.openxmlformats.org/officeDocument/2006/relationships/hyperlink" Target="https://www.xiaohongshu.com/explore/6a4f51040000000022014be8?xsec_token=ABYDON0nC1F8Z-OmyjIh12yrXCsf0q_rKLCu3K9DRGlA8=&amp;xsec_source=pc_user" TargetMode="External"/><Relationship Id="rId8" Type="http://schemas.openxmlformats.org/officeDocument/2006/relationships/hyperlink" Target="http://xhslink.com/o/8D1F4g53CJV" TargetMode="External"/><Relationship Id="rId11" Type="http://schemas.openxmlformats.org/officeDocument/2006/relationships/hyperlink" Target="https://www.xiaohongshu.com/discovery/item/6a4e304f0000000021022e91?source=webshare&amp;xhsshare=pc_web&amp;xsec_token=CBefaoTLYD4ZeGzcnRocBLci690HIiw5Q-FR_-UCEGvG4=&amp;xsec_source=pc_share" TargetMode="External"/><Relationship Id="rId33" Type="http://schemas.openxmlformats.org/officeDocument/2006/relationships/table" Target="../tables/table3.xml"/><Relationship Id="rId10" Type="http://schemas.openxmlformats.org/officeDocument/2006/relationships/hyperlink" Target="https://www.xiaohongshu.com/discovery/item/6a4e06520000000008025bc1?source=webshare&amp;xhsshare=pc_web&amp;xsec_token=CBefaoTLYD4ZeGzcnRocBLcqJvDguzwWtgS1LrleiFX6Q=&amp;xsec_source=pc_share" TargetMode="External"/><Relationship Id="rId32" Type="http://schemas.openxmlformats.org/officeDocument/2006/relationships/table" Target="../tables/table2.xml"/><Relationship Id="rId13" Type="http://schemas.openxmlformats.org/officeDocument/2006/relationships/hyperlink" Target="https://www.xiaohongshu.com/explore/6a4e03d50000000017009cab?xsec_token=ABJYsiodSl_KT-BLpCV7yex91jGo7Vb7L-2rHDq-SVmL0=&amp;xsec_source=pc_user" TargetMode="External"/><Relationship Id="rId12" Type="http://schemas.openxmlformats.org/officeDocument/2006/relationships/hyperlink" Target="https://www.xiaohongshu.com/discovery/item/6a4f4ba70000000008024032?source=webshare&amp;xhsshare=pc_web&amp;xsec_token=AB1StKjf1ByZfwsZjWTzhwqk6PkVznUNSDghgXN54_RlE=&amp;xsec_source=pc_share" TargetMode="External"/><Relationship Id="rId15" Type="http://schemas.openxmlformats.org/officeDocument/2006/relationships/hyperlink" Target="https://www.xiaohongshu.com/discovery/item/6a4f70390000000015024206?source=webshare&amp;xhsshare=pc_web&amp;xsec_token=AB1StKjf1ByZfwsZjWTzhwqvev_WQQsgx83DLJocv8mQs=&amp;xsec_source=pc_share" TargetMode="External"/><Relationship Id="rId14" Type="http://schemas.openxmlformats.org/officeDocument/2006/relationships/hyperlink" Target="https://www.xiaohongshu.com/discovery/item/6a4f62b6000000001603fed0?source=webshare&amp;xhsshare=pc_web&amp;xsec_token=AB1StKjf1ByZfwsZjWTzhwqhmlGfbfcOEa6MjU-zMpHVk=&amp;xsec_source=pc_share" TargetMode="External"/><Relationship Id="rId17" Type="http://schemas.openxmlformats.org/officeDocument/2006/relationships/hyperlink" Target="https://www.xiaohongshu.com/explore/6a4e0706000000001100672d?xsec_token=ABJYsiodSl_KT-BLpCV7yexwNSL8HRCWQnNYFqjGz34cU=&amp;xsec_source=pc_user" TargetMode="External"/><Relationship Id="rId16" Type="http://schemas.openxmlformats.org/officeDocument/2006/relationships/hyperlink" Target="https://www.xiaohongshu.com/discovery/item/6a4f71180000000015024878?source=webshare&amp;xhsshare=pc_web&amp;xsec_token=AB1StKjf1ByZfwsZjWTzhwquZfQMXjMPBDKGZQtm4H2IA=&amp;xsec_source=pc_share" TargetMode="External"/><Relationship Id="rId19" Type="http://schemas.openxmlformats.org/officeDocument/2006/relationships/hyperlink" Target="https://www.xiaohongshu.com/discovery/item/6a4f48e2000000000f032267?source=webshare&amp;xhsshare=pc_web&amp;xsec_token=AB1StKjf1ByZfwsZjWTzhwqpYUHL0WZJ0JGt5cUDJ3orE=&amp;xsec_source=pc_share" TargetMode="External"/><Relationship Id="rId18" Type="http://schemas.openxmlformats.org/officeDocument/2006/relationships/hyperlink" Target="https://www.xiaohongshu.com/explore/6a4e01790000000011011c06?xsec_token=ABJYsiodSl_KT-BLpCV7yex2Wa72K7-4y4-kiAIXOEUk8=&amp;xsec_source=pc_user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.xml"/><Relationship Id="rId1" Type="http://schemas.openxmlformats.org/officeDocument/2006/relationships/hyperlink" Target="https://www.xiaohongshu.com/explore/6a7302870000000032022b49?xsec_token=ABxt1SH1y3MQ3T7xoKIPo7Dm_618YTsr-s0WYLtm3e1PI=&amp;xsec_source=pc_search" TargetMode="External"/><Relationship Id="rId2" Type="http://schemas.openxmlformats.org/officeDocument/2006/relationships/hyperlink" Target="https://www.douyin.com/video/7672026558178247013" TargetMode="External"/><Relationship Id="rId3" Type="http://schemas.openxmlformats.org/officeDocument/2006/relationships/hyperlink" Target="https://www.xiaohongshu.com/explore/6a78569d00000000250058b8?xsec_token=AB-jsGohsfIR5SZK-GslVIDyI6oSn5FCS8GxM-sn-232s=&amp;xsec_source=pc_search" TargetMode="External"/><Relationship Id="rId4" Type="http://schemas.openxmlformats.org/officeDocument/2006/relationships/hyperlink" Target="https://www.xiaohongshu.com/explore/6a79a4740000000005032506?xsec_token=ABf-gtKsl0EMzS4visOq53H66M9kUNAZzwD6Xw_8mz7Sw=&amp;xsec_source=pc_search" TargetMode="External"/><Relationship Id="rId9" Type="http://schemas.openxmlformats.org/officeDocument/2006/relationships/hyperlink" Target="https://www.instagram.com/reel/Dbr2bbwBKAC/?igsh=MWJ0Y3Z6c21tMjV3eg%3D%3D" TargetMode="External"/><Relationship Id="rId5" Type="http://schemas.openxmlformats.org/officeDocument/2006/relationships/hyperlink" Target="https://www.xiaohongshu.com/explore/6a7713ff000000002800345b?xsec_token=ABwnOUgVPjEYQvXEj60H04pDIj4SvR4g3fxy_HK7OHJTE=&amp;xsec_source=app_share" TargetMode="External"/><Relationship Id="rId6" Type="http://schemas.openxmlformats.org/officeDocument/2006/relationships/hyperlink" Target="https://www.douyin.com/video/7671646696048621669" TargetMode="External"/><Relationship Id="rId7" Type="http://schemas.openxmlformats.org/officeDocument/2006/relationships/hyperlink" Target="https://www.xiaohongshu.com/explore/6a7405100000000025001752?xsec_token=ABrJcLE5H-gxNppKV7YHAA9wWcR4he3l9uWhsbhoHjuOY=&amp;xsec_source=pc_search" TargetMode="External"/><Relationship Id="rId8" Type="http://schemas.openxmlformats.org/officeDocument/2006/relationships/hyperlink" Target="https://www.douyin.com/video/7670763105647873913" TargetMode="External"/><Relationship Id="rId11" Type="http://schemas.openxmlformats.org/officeDocument/2006/relationships/hyperlink" Target="https://www.xiaohongshu.com/explore/6a75a917000000003301070b?xsec_token=ABFV95xyK0-id_lwMNLl7_eo5-FrwT87AOkJi92huPnv0=&amp;xsec_source=pc_user" TargetMode="External"/><Relationship Id="rId10" Type="http://schemas.openxmlformats.org/officeDocument/2006/relationships/hyperlink" Target="https://www.xiaohongshu.com/explore/6a755c880000000022030bb0?xsec_token=ABFV95xyK0-id_lwMNLl7_eq2cWcbKEE7aC4_IiOcfB_U=&amp;xsec_source=app_share" TargetMode="External"/><Relationship Id="rId13" Type="http://schemas.openxmlformats.org/officeDocument/2006/relationships/hyperlink" Target="https://www.douyin.com/user/MS4wLjABAAAAM0qi55jGtomignltDcRoowyW-VW91z_xWAp6X6U1duNiMz8bxnq-WqkVtRF-csjF?from_tab_name=main&amp;modal_id=7671227554522730054&amp;relation=0&amp;vid=7670171126680590961" TargetMode="External"/><Relationship Id="rId12" Type="http://schemas.openxmlformats.org/officeDocument/2006/relationships/hyperlink" Target="https://www.douyin.com/video/7670171126680590961" TargetMode="External"/><Relationship Id="rId15" Type="http://schemas.openxmlformats.org/officeDocument/2006/relationships/hyperlink" Target="https://www.xiaohongshu.com/explore/6a72d22300000000320311a4?xsec_token=ABEYh1kPw_RWYOwhCdHlopCA_W11z6N_3cb_Jm5pgb3Oc=&amp;xsec_source=app_share" TargetMode="External"/><Relationship Id="rId14" Type="http://schemas.openxmlformats.org/officeDocument/2006/relationships/hyperlink" Target="https://www.xiaohongshu.com/explore/6a72e11c000000002800056f?xsec_token=ABEYh1kPw_RWYOwhCdHlopCJVf5j-N6rv_KP7x5egwnuo=&amp;xsec_source=app_share" TargetMode="External"/><Relationship Id="rId17" Type="http://schemas.openxmlformats.org/officeDocument/2006/relationships/hyperlink" Target="https://www.xiaohongshu.com/explore/6a72b6340000000026036f3f?xsec_token=ABEYh1kPw_RWYOwhCdHlopCPDyJdW4r7pJULFllgmkSM0=&amp;xsec_source=app_share" TargetMode="External"/><Relationship Id="rId16" Type="http://schemas.openxmlformats.org/officeDocument/2006/relationships/hyperlink" Target="https://www.xiaohongshu.com/explore/6a72d3e700000000060059b8?xsec_token=ABEYh1kPw_RWYOwhCdHlopCJdJp9Deoetk6Hm5yWsFpzI=&amp;xsec_source=app_share" TargetMode="External"/><Relationship Id="rId19" Type="http://schemas.openxmlformats.org/officeDocument/2006/relationships/hyperlink" Target="https://www.xiaohongshu.com/explore/6a72b7d90000000022031c95?xsec_token=ABEYh1kPw_RWYOwhCdHlopCLkiR45XN5fdqEOLRaTh5jo=&amp;xsec_source=app_share" TargetMode="External"/><Relationship Id="rId18" Type="http://schemas.openxmlformats.org/officeDocument/2006/relationships/hyperlink" Target="https://www.xiaohongshu.com/explore/6a72b2b40000000024026cd4?xsec_token=ABEYh1kPw_RWYOwhCdHlopCLKqmeD04rQfVbVqeoHDr54=&amp;xsec_source=pc_not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explore/6a9a8772000000002a027544?xsec_token=ABqpHQVN3ZSS1Lwo6JapLEsh31MkPjzlXc9sAKz6NHTO4=&amp;xsec_source=app_share" TargetMode="External"/><Relationship Id="rId2" Type="http://schemas.openxmlformats.org/officeDocument/2006/relationships/hyperlink" Target="https://www.xiaohongshu.com/explore/6a8ee94300000000200335ae?xsec_token=ABVy_rX4pcj6Cdpn1TylIUcL6gGdFc0s_1N1QebAHhOzc=&amp;xsec_source=pc_search" TargetMode="External"/><Relationship Id="rId3" Type="http://schemas.openxmlformats.org/officeDocument/2006/relationships/hyperlink" Target="https://www.xiaohongshu.com/explore/6a916a4f000000001f0016fb?xsec_token=ABbt_JMFx-QueXlXZPRLagIBrjIbTzBY-jkX9M1DhXzxE=&amp;xsec_source=app_share" TargetMode="External"/><Relationship Id="rId4" Type="http://schemas.openxmlformats.org/officeDocument/2006/relationships/hyperlink" Target="https://www.xiaohongshu.com/explore/6a94c675000000001803ee20?xsec_token=AB-jZyWLMnaUl7T5IgIx2ipXlAZqG31lWb2cFXMHnp2jI=&amp;xsec_source=pc_user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xiaohongshu.com/explore/6a91557900000000210319fe?xsec_token=ABbt_JMFx-QueXlXZPRLagIAfjdK1R4hZIH7y0Axs9n0I=&amp;xsec_source=pc_search" TargetMode="External"/><Relationship Id="rId6" Type="http://schemas.openxmlformats.org/officeDocument/2006/relationships/hyperlink" Target="https://www.xiaohongshu.com/explore/6a9286a900000000250136da?xsec_token=ABFZJ2VFfrVCMV623KTAOfyq4LaOHHjGMt6iLNXE-r9Kw=&amp;xsec_source=pc_search" TargetMode="External"/><Relationship Id="rId7" Type="http://schemas.openxmlformats.org/officeDocument/2006/relationships/hyperlink" Target="https://www.xiaohongshu.com/explore/6a903b4b0000000006011e7b?xsec_token=ABF4ZoW-dDkLWxxND4GI0Uo1wip1gUhhLzz6yFpf5TBWQ=&amp;xsec_source=pc_search" TargetMode="External"/><Relationship Id="rId8" Type="http://schemas.openxmlformats.org/officeDocument/2006/relationships/hyperlink" Target="https://www.xiaohongshu.com/explore/6a92bd4b000000002003fbc4?xsec_token=ABFZJ2VFfrVCMV623KTAOfyrq15BS7d01uGE27ijwGj_4=&amp;xsec_source=app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75"/>
    <col customWidth="1" min="3" max="4" width="13.75"/>
    <col customWidth="1" min="5" max="5" width="7.63"/>
    <col customWidth="1" min="6" max="6" width="7.25"/>
    <col customWidth="1" min="7" max="7" width="8.25"/>
    <col customWidth="1" min="8" max="8" width="14.38"/>
    <col customWidth="1" min="9" max="9" width="14.63"/>
  </cols>
  <sheetData>
    <row r="1">
      <c r="A1" s="86" t="s">
        <v>152</v>
      </c>
      <c r="B1" s="86" t="s">
        <v>153</v>
      </c>
      <c r="C1" s="86" t="s">
        <v>154</v>
      </c>
      <c r="D1" s="87" t="s">
        <v>5</v>
      </c>
      <c r="E1" s="87" t="s">
        <v>6</v>
      </c>
      <c r="F1" s="87" t="s">
        <v>7</v>
      </c>
      <c r="G1" s="87" t="s">
        <v>8</v>
      </c>
      <c r="H1" s="87" t="s">
        <v>9</v>
      </c>
      <c r="I1" s="8" t="s">
        <v>10</v>
      </c>
      <c r="J1" s="88" t="s">
        <v>156</v>
      </c>
    </row>
    <row r="2">
      <c r="A2" s="89" t="s">
        <v>158</v>
      </c>
      <c r="B2" s="89">
        <v>2.0</v>
      </c>
      <c r="C2" s="89">
        <v>14.0</v>
      </c>
      <c r="D2" s="90">
        <v>63553.0</v>
      </c>
      <c r="E2" s="90">
        <v>1843.0</v>
      </c>
      <c r="F2" s="90">
        <v>974.0</v>
      </c>
      <c r="G2" s="90">
        <v>173.0</v>
      </c>
      <c r="H2" s="90">
        <v>2990.0</v>
      </c>
      <c r="I2" s="91">
        <v>0.047047346309379574</v>
      </c>
      <c r="J2" s="90">
        <f t="shared" ref="J2:J14" si="1">D2/C2</f>
        <v>4539.5</v>
      </c>
    </row>
    <row r="3">
      <c r="A3" s="89" t="s">
        <v>159</v>
      </c>
      <c r="B3" s="89">
        <v>1.0</v>
      </c>
      <c r="C3" s="89">
        <v>11.0</v>
      </c>
      <c r="D3" s="90">
        <v>71360.0</v>
      </c>
      <c r="E3" s="90">
        <v>1732.0</v>
      </c>
      <c r="F3" s="90">
        <v>478.0</v>
      </c>
      <c r="G3" s="90">
        <v>124.0</v>
      </c>
      <c r="H3" s="90">
        <v>2334.0</v>
      </c>
      <c r="I3" s="91">
        <v>0.032707399103139016</v>
      </c>
      <c r="J3" s="90">
        <f t="shared" si="1"/>
        <v>6487.272727</v>
      </c>
    </row>
    <row r="4">
      <c r="A4" s="89" t="s">
        <v>161</v>
      </c>
      <c r="B4" s="89">
        <v>2.0</v>
      </c>
      <c r="C4" s="89">
        <v>15.0</v>
      </c>
      <c r="D4" s="90">
        <v>84065.0</v>
      </c>
      <c r="E4" s="90">
        <v>2336.0</v>
      </c>
      <c r="F4" s="90">
        <v>835.0</v>
      </c>
      <c r="G4" s="90">
        <v>201.0</v>
      </c>
      <c r="H4" s="90">
        <v>3372.0</v>
      </c>
      <c r="I4" s="91">
        <v>0.04011181823588889</v>
      </c>
      <c r="J4" s="90">
        <f t="shared" si="1"/>
        <v>5604.333333</v>
      </c>
    </row>
    <row r="5">
      <c r="A5" s="89" t="s">
        <v>162</v>
      </c>
      <c r="B5" s="89">
        <v>2.0</v>
      </c>
      <c r="C5" s="89">
        <v>17.0</v>
      </c>
      <c r="D5" s="90">
        <v>481912.0</v>
      </c>
      <c r="E5" s="90">
        <v>12736.0</v>
      </c>
      <c r="F5" s="92">
        <v>1656.0</v>
      </c>
      <c r="G5" s="90">
        <v>697.0</v>
      </c>
      <c r="H5" s="92">
        <v>15089.0</v>
      </c>
      <c r="I5" s="93">
        <v>0.0313</v>
      </c>
      <c r="J5" s="90">
        <f t="shared" si="1"/>
        <v>28347.76471</v>
      </c>
    </row>
    <row r="6">
      <c r="A6" s="89" t="s">
        <v>163</v>
      </c>
      <c r="B6" s="89">
        <v>2.0</v>
      </c>
      <c r="C6" s="89">
        <v>13.0</v>
      </c>
      <c r="D6" s="90">
        <v>213874.0</v>
      </c>
      <c r="E6" s="90">
        <v>10781.0</v>
      </c>
      <c r="F6" s="90">
        <v>2489.0</v>
      </c>
      <c r="G6" s="90">
        <v>668.0</v>
      </c>
      <c r="H6" s="90">
        <v>13938.0</v>
      </c>
      <c r="I6" s="91">
        <v>0.06516921177889785</v>
      </c>
      <c r="J6" s="90">
        <f t="shared" si="1"/>
        <v>16451.84615</v>
      </c>
    </row>
    <row r="7">
      <c r="A7" s="89" t="s">
        <v>164</v>
      </c>
      <c r="B7" s="89">
        <v>2.0</v>
      </c>
      <c r="C7" s="89">
        <v>13.0</v>
      </c>
      <c r="D7" s="92">
        <v>36004.0</v>
      </c>
      <c r="E7" s="92">
        <v>2691.0</v>
      </c>
      <c r="F7" s="92">
        <v>517.0</v>
      </c>
      <c r="G7" s="92">
        <v>207.0</v>
      </c>
      <c r="H7" s="92">
        <v>3146.0</v>
      </c>
      <c r="I7" s="93">
        <v>0.0916</v>
      </c>
      <c r="J7" s="90">
        <f t="shared" si="1"/>
        <v>2769.538462</v>
      </c>
    </row>
    <row r="8">
      <c r="A8" s="89" t="s">
        <v>166</v>
      </c>
      <c r="B8" s="89">
        <v>5.0</v>
      </c>
      <c r="C8" s="89">
        <v>39.0</v>
      </c>
      <c r="D8" s="92">
        <v>611933.0</v>
      </c>
      <c r="E8" s="92">
        <v>10395.0</v>
      </c>
      <c r="F8" s="92">
        <v>4332.0</v>
      </c>
      <c r="G8" s="92">
        <v>821.0</v>
      </c>
      <c r="H8" s="92">
        <v>15548.0</v>
      </c>
      <c r="I8" s="93">
        <v>0.0254</v>
      </c>
      <c r="J8" s="90">
        <f t="shared" si="1"/>
        <v>15690.58974</v>
      </c>
    </row>
    <row r="9">
      <c r="A9" s="89" t="s">
        <v>167</v>
      </c>
      <c r="B9" s="89">
        <v>1.0</v>
      </c>
      <c r="C9" s="89">
        <v>24.0</v>
      </c>
      <c r="D9" s="92">
        <v>422848.0</v>
      </c>
      <c r="E9" s="92">
        <v>10524.0</v>
      </c>
      <c r="F9" s="92">
        <v>1602.0</v>
      </c>
      <c r="G9" s="89">
        <v>640.0</v>
      </c>
      <c r="H9" s="92">
        <v>12766.0</v>
      </c>
      <c r="I9" s="94">
        <v>0.0302</v>
      </c>
      <c r="J9" s="90">
        <f t="shared" si="1"/>
        <v>17618.66667</v>
      </c>
    </row>
    <row r="10">
      <c r="A10" s="89" t="s">
        <v>168</v>
      </c>
      <c r="B10" s="89">
        <v>1.0</v>
      </c>
      <c r="C10" s="89">
        <v>12.0</v>
      </c>
      <c r="D10" s="92">
        <v>207135.0</v>
      </c>
      <c r="E10" s="92">
        <v>4961.0</v>
      </c>
      <c r="F10" s="89">
        <v>556.0</v>
      </c>
      <c r="G10" s="89">
        <v>313.0</v>
      </c>
      <c r="H10" s="92">
        <v>5830.0</v>
      </c>
      <c r="I10" s="94">
        <v>0.0281</v>
      </c>
      <c r="J10" s="90">
        <f t="shared" si="1"/>
        <v>17261.25</v>
      </c>
    </row>
    <row r="11">
      <c r="A11" s="89" t="s">
        <v>169</v>
      </c>
      <c r="B11" s="89">
        <v>1.0</v>
      </c>
      <c r="C11" s="89">
        <v>12.0</v>
      </c>
      <c r="D11" s="13">
        <v>65963.0</v>
      </c>
      <c r="E11" s="92">
        <v>2057.0</v>
      </c>
      <c r="F11" s="89">
        <v>466.0</v>
      </c>
      <c r="G11" s="89">
        <v>213.0</v>
      </c>
      <c r="H11" s="92">
        <v>2736.0</v>
      </c>
      <c r="I11" s="94">
        <v>0.0415</v>
      </c>
      <c r="J11" s="90">
        <f t="shared" si="1"/>
        <v>5496.916667</v>
      </c>
    </row>
    <row r="12">
      <c r="A12" s="89" t="s">
        <v>170</v>
      </c>
      <c r="B12" s="89">
        <v>1.0</v>
      </c>
      <c r="C12" s="89">
        <v>28.0</v>
      </c>
      <c r="D12" s="13">
        <v>123217.0</v>
      </c>
      <c r="E12" s="92">
        <v>7212.0</v>
      </c>
      <c r="F12" s="89">
        <v>1837.0</v>
      </c>
      <c r="G12" s="89">
        <v>677.0</v>
      </c>
      <c r="H12" s="92">
        <v>9726.0</v>
      </c>
      <c r="I12" s="94">
        <f t="shared" ref="I12:I14" si="2">H12/D12</f>
        <v>0.07893391334</v>
      </c>
      <c r="J12" s="90">
        <f t="shared" si="1"/>
        <v>4400.607143</v>
      </c>
      <c r="K12" s="88" t="s">
        <v>171</v>
      </c>
    </row>
    <row r="13">
      <c r="A13" s="89" t="s">
        <v>172</v>
      </c>
      <c r="B13" s="89">
        <v>1.0</v>
      </c>
      <c r="C13" s="89">
        <v>19.0</v>
      </c>
      <c r="D13" s="13">
        <v>110219.0</v>
      </c>
      <c r="E13" s="92">
        <v>4085.0</v>
      </c>
      <c r="F13" s="89">
        <v>983.0</v>
      </c>
      <c r="G13" s="89">
        <v>283.0</v>
      </c>
      <c r="H13" s="92">
        <v>5350.0</v>
      </c>
      <c r="I13" s="94">
        <f t="shared" si="2"/>
        <v>0.04853972546</v>
      </c>
      <c r="J13" s="90">
        <f t="shared" si="1"/>
        <v>5801</v>
      </c>
    </row>
    <row r="14">
      <c r="A14" s="89" t="s">
        <v>173</v>
      </c>
      <c r="B14" s="89">
        <v>1.0</v>
      </c>
      <c r="C14" s="89">
        <v>8.0</v>
      </c>
      <c r="D14" s="13">
        <v>40676.0</v>
      </c>
      <c r="E14" s="92">
        <v>2547.0</v>
      </c>
      <c r="F14" s="89">
        <v>1080.0</v>
      </c>
      <c r="G14" s="89">
        <v>245.0</v>
      </c>
      <c r="H14" s="92">
        <v>3872.0</v>
      </c>
      <c r="I14" s="94">
        <f t="shared" si="2"/>
        <v>0.09519126758</v>
      </c>
      <c r="J14" s="90">
        <f t="shared" si="1"/>
        <v>5084.5</v>
      </c>
    </row>
    <row r="16">
      <c r="A16" s="86" t="s">
        <v>152</v>
      </c>
      <c r="B16" s="86" t="s">
        <v>153</v>
      </c>
      <c r="C16" s="95" t="s">
        <v>156</v>
      </c>
      <c r="D16" s="96" t="s">
        <v>10</v>
      </c>
    </row>
    <row r="17">
      <c r="A17" s="89" t="s">
        <v>174</v>
      </c>
      <c r="B17" s="89">
        <v>2.0</v>
      </c>
      <c r="C17" s="97">
        <v>4539.5</v>
      </c>
      <c r="D17" s="91">
        <v>0.047047346309379574</v>
      </c>
      <c r="Q17" s="88" t="s">
        <v>175</v>
      </c>
    </row>
    <row r="18">
      <c r="A18" s="89" t="s">
        <v>159</v>
      </c>
      <c r="B18" s="89">
        <v>1.0</v>
      </c>
      <c r="C18" s="97">
        <v>6487.272727272727</v>
      </c>
      <c r="D18" s="91">
        <v>0.032707399103139016</v>
      </c>
    </row>
    <row r="19">
      <c r="A19" s="89" t="s">
        <v>161</v>
      </c>
      <c r="B19" s="89">
        <v>2.0</v>
      </c>
      <c r="C19" s="97">
        <v>5604.333333333333</v>
      </c>
      <c r="D19" s="91">
        <v>0.04011181823588889</v>
      </c>
    </row>
    <row r="20">
      <c r="A20" s="89" t="s">
        <v>162</v>
      </c>
      <c r="B20" s="89">
        <v>2.0</v>
      </c>
      <c r="C20" s="97">
        <v>28347.764705882353</v>
      </c>
      <c r="D20" s="93">
        <v>0.0313</v>
      </c>
    </row>
    <row r="21">
      <c r="A21" s="89" t="s">
        <v>163</v>
      </c>
      <c r="B21" s="89">
        <v>2.0</v>
      </c>
      <c r="C21" s="97">
        <v>16451.846153846152</v>
      </c>
      <c r="D21" s="91">
        <v>0.06516921177889785</v>
      </c>
    </row>
    <row r="22">
      <c r="A22" s="89" t="s">
        <v>164</v>
      </c>
      <c r="B22" s="89">
        <v>2.0</v>
      </c>
      <c r="C22" s="97">
        <v>2770.0</v>
      </c>
      <c r="D22" s="93">
        <v>0.0916</v>
      </c>
    </row>
    <row r="23">
      <c r="A23" s="89" t="s">
        <v>166</v>
      </c>
      <c r="B23" s="89">
        <v>5.0</v>
      </c>
      <c r="C23" s="97">
        <v>12809.0</v>
      </c>
      <c r="D23" s="93">
        <v>0.0254</v>
      </c>
    </row>
    <row r="24">
      <c r="A24" s="89" t="s">
        <v>167</v>
      </c>
      <c r="B24" s="89">
        <v>1.0</v>
      </c>
      <c r="C24" s="97">
        <v>17619.0</v>
      </c>
      <c r="D24" s="93">
        <v>0.0302</v>
      </c>
    </row>
    <row r="25">
      <c r="A25" s="89" t="s">
        <v>168</v>
      </c>
      <c r="B25" s="89">
        <v>1.0</v>
      </c>
      <c r="C25" s="97">
        <v>17261.0</v>
      </c>
      <c r="D25" s="93">
        <v>0.0281</v>
      </c>
    </row>
    <row r="26">
      <c r="A26" s="89" t="s">
        <v>169</v>
      </c>
      <c r="B26" s="98">
        <v>1.0</v>
      </c>
      <c r="C26" s="92">
        <v>5497.0</v>
      </c>
      <c r="D26" s="99">
        <v>0.0415</v>
      </c>
    </row>
    <row r="27">
      <c r="A27" s="89" t="s">
        <v>170</v>
      </c>
      <c r="B27" s="98">
        <v>1.0</v>
      </c>
      <c r="C27" s="92">
        <v>5531.0</v>
      </c>
      <c r="D27" s="99">
        <v>0.0789</v>
      </c>
    </row>
    <row r="28">
      <c r="A28" s="89" t="s">
        <v>172</v>
      </c>
      <c r="B28" s="98">
        <v>1.0</v>
      </c>
      <c r="C28" s="92">
        <v>5801.0</v>
      </c>
      <c r="D28" s="94">
        <v>0.0485</v>
      </c>
    </row>
    <row r="29">
      <c r="A29" s="89" t="s">
        <v>173</v>
      </c>
      <c r="B29" s="98">
        <v>1.0</v>
      </c>
      <c r="C29" s="92">
        <v>5805.0</v>
      </c>
      <c r="D29" s="94">
        <v>0.0952</v>
      </c>
    </row>
    <row r="31">
      <c r="A31" s="86" t="s">
        <v>152</v>
      </c>
      <c r="B31" s="86" t="s">
        <v>154</v>
      </c>
      <c r="C31" s="96" t="s">
        <v>10</v>
      </c>
    </row>
    <row r="32">
      <c r="A32" s="89" t="s">
        <v>158</v>
      </c>
      <c r="B32" s="89">
        <v>14.0</v>
      </c>
      <c r="C32" s="91">
        <v>0.047047346309379574</v>
      </c>
    </row>
    <row r="33">
      <c r="A33" s="89" t="s">
        <v>159</v>
      </c>
      <c r="B33" s="89">
        <v>11.0</v>
      </c>
      <c r="C33" s="91">
        <v>0.032707399103139016</v>
      </c>
    </row>
    <row r="34">
      <c r="A34" s="89" t="s">
        <v>161</v>
      </c>
      <c r="B34" s="89">
        <v>15.0</v>
      </c>
      <c r="C34" s="91">
        <v>0.04011181823588889</v>
      </c>
    </row>
    <row r="35">
      <c r="A35" s="89" t="s">
        <v>162</v>
      </c>
      <c r="B35" s="89">
        <v>17.0</v>
      </c>
      <c r="C35" s="93">
        <v>0.0313</v>
      </c>
    </row>
    <row r="36">
      <c r="A36" s="89" t="s">
        <v>163</v>
      </c>
      <c r="B36" s="89">
        <v>13.0</v>
      </c>
      <c r="C36" s="91">
        <v>0.06516921177889785</v>
      </c>
    </row>
    <row r="37">
      <c r="A37" s="89" t="s">
        <v>164</v>
      </c>
      <c r="B37" s="89">
        <v>13.0</v>
      </c>
      <c r="C37" s="93">
        <v>0.0916</v>
      </c>
    </row>
    <row r="38">
      <c r="A38" s="89" t="s">
        <v>166</v>
      </c>
      <c r="B38" s="89">
        <v>39.0</v>
      </c>
      <c r="C38" s="93">
        <v>0.0254</v>
      </c>
    </row>
    <row r="39">
      <c r="A39" s="89" t="s">
        <v>167</v>
      </c>
      <c r="B39" s="89">
        <v>24.0</v>
      </c>
      <c r="C39" s="94">
        <v>0.0302</v>
      </c>
    </row>
    <row r="40">
      <c r="A40" s="89" t="s">
        <v>168</v>
      </c>
      <c r="B40" s="89">
        <v>12.0</v>
      </c>
      <c r="C40" s="94">
        <v>0.0281</v>
      </c>
    </row>
    <row r="41">
      <c r="A41" s="89" t="s">
        <v>169</v>
      </c>
      <c r="B41" s="100">
        <v>12.0</v>
      </c>
      <c r="C41" s="101">
        <v>0.0415</v>
      </c>
    </row>
    <row r="42">
      <c r="A42" s="89" t="s">
        <v>170</v>
      </c>
      <c r="B42" s="102">
        <v>28.0</v>
      </c>
      <c r="C42" s="101">
        <v>0.0789</v>
      </c>
    </row>
    <row r="43">
      <c r="A43" s="89" t="s">
        <v>172</v>
      </c>
      <c r="B43" s="89">
        <v>19.0</v>
      </c>
      <c r="C43" s="94">
        <v>0.0485</v>
      </c>
    </row>
    <row r="44">
      <c r="A44" s="89" t="s">
        <v>173</v>
      </c>
      <c r="B44" s="89">
        <v>8.0</v>
      </c>
      <c r="C44" s="94">
        <v>0.0952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9.75"/>
  </cols>
  <sheetData>
    <row r="1">
      <c r="A1" s="1" t="s">
        <v>0</v>
      </c>
    </row>
    <row r="2">
      <c r="A2" s="4" t="s">
        <v>1</v>
      </c>
      <c r="B2" s="6" t="s">
        <v>2</v>
      </c>
      <c r="C2" s="6" t="s">
        <v>3</v>
      </c>
      <c r="D2" s="9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>
      <c r="A3" s="12" t="s">
        <v>12</v>
      </c>
      <c r="B3" s="14">
        <v>123000.0</v>
      </c>
      <c r="C3" s="12" t="s">
        <v>14</v>
      </c>
      <c r="D3" s="18" t="s">
        <v>16</v>
      </c>
      <c r="E3" s="14">
        <v>66003.0</v>
      </c>
      <c r="F3" s="19">
        <v>2274.0</v>
      </c>
      <c r="G3" s="19">
        <v>150.0</v>
      </c>
      <c r="H3" s="19">
        <v>104.0</v>
      </c>
      <c r="I3" s="20">
        <f t="shared" ref="I3:I9" si="1">SUM(F3:H3)</f>
        <v>2528</v>
      </c>
      <c r="J3" s="22">
        <f t="shared" ref="J3:J10" si="2">I3/E3</f>
        <v>0.03830128934</v>
      </c>
    </row>
    <row r="4">
      <c r="A4" s="12" t="s">
        <v>21</v>
      </c>
      <c r="B4" s="14">
        <v>15000.0</v>
      </c>
      <c r="C4" s="16" t="s">
        <v>13</v>
      </c>
      <c r="D4" s="18" t="s">
        <v>23</v>
      </c>
      <c r="E4" s="14">
        <v>12900.0</v>
      </c>
      <c r="F4" s="14">
        <v>338.0</v>
      </c>
      <c r="G4" s="14">
        <v>24.0</v>
      </c>
      <c r="H4" s="14">
        <v>36.0</v>
      </c>
      <c r="I4" s="20">
        <f t="shared" si="1"/>
        <v>398</v>
      </c>
      <c r="J4" s="22">
        <f t="shared" si="2"/>
        <v>0.03085271318</v>
      </c>
    </row>
    <row r="5">
      <c r="A5" s="12" t="s">
        <v>20</v>
      </c>
      <c r="B5" s="14">
        <v>26000.0</v>
      </c>
      <c r="C5" s="12" t="s">
        <v>14</v>
      </c>
      <c r="D5" s="18" t="s">
        <v>27</v>
      </c>
      <c r="E5" s="14">
        <v>9140.0</v>
      </c>
      <c r="F5" s="14">
        <v>491.0</v>
      </c>
      <c r="G5" s="14">
        <v>57.0</v>
      </c>
      <c r="H5" s="14">
        <v>48.0</v>
      </c>
      <c r="I5" s="20">
        <f t="shared" si="1"/>
        <v>596</v>
      </c>
      <c r="J5" s="22">
        <f t="shared" si="2"/>
        <v>0.06520787746</v>
      </c>
    </row>
    <row r="6">
      <c r="A6" s="12" t="s">
        <v>31</v>
      </c>
      <c r="B6" s="14">
        <v>11000.0</v>
      </c>
      <c r="C6" s="12" t="s">
        <v>14</v>
      </c>
      <c r="D6" s="18" t="s">
        <v>33</v>
      </c>
      <c r="E6" s="14">
        <v>2250.0</v>
      </c>
      <c r="F6" s="14">
        <v>148.0</v>
      </c>
      <c r="G6" s="14">
        <v>16.0</v>
      </c>
      <c r="H6" s="14">
        <v>59.0</v>
      </c>
      <c r="I6" s="20">
        <f t="shared" si="1"/>
        <v>223</v>
      </c>
      <c r="J6" s="22">
        <f t="shared" si="2"/>
        <v>0.09911111111</v>
      </c>
    </row>
    <row r="7">
      <c r="A7" s="12" t="s">
        <v>36</v>
      </c>
      <c r="B7" s="14">
        <v>10000.0</v>
      </c>
      <c r="C7" s="12" t="s">
        <v>14</v>
      </c>
      <c r="D7" s="18" t="s">
        <v>37</v>
      </c>
      <c r="E7" s="14">
        <v>1981.0</v>
      </c>
      <c r="F7" s="14">
        <v>114.0</v>
      </c>
      <c r="G7" s="14">
        <v>42.0</v>
      </c>
      <c r="H7" s="14">
        <v>45.0</v>
      </c>
      <c r="I7" s="20">
        <f t="shared" si="1"/>
        <v>201</v>
      </c>
      <c r="J7" s="22">
        <f t="shared" si="2"/>
        <v>0.1014639071</v>
      </c>
    </row>
    <row r="8">
      <c r="A8" s="12" t="s">
        <v>42</v>
      </c>
      <c r="B8" s="14">
        <v>2733.0</v>
      </c>
      <c r="C8" s="12" t="s">
        <v>14</v>
      </c>
      <c r="D8" s="18" t="s">
        <v>43</v>
      </c>
      <c r="E8" s="14">
        <v>3062.0</v>
      </c>
      <c r="F8" s="14">
        <v>137.0</v>
      </c>
      <c r="G8" s="14">
        <v>23.0</v>
      </c>
      <c r="H8" s="14">
        <v>14.0</v>
      </c>
      <c r="I8" s="20">
        <f t="shared" si="1"/>
        <v>174</v>
      </c>
      <c r="J8" s="22">
        <f t="shared" si="2"/>
        <v>0.05682560418</v>
      </c>
    </row>
    <row r="9">
      <c r="A9" s="12" t="s">
        <v>48</v>
      </c>
      <c r="B9" s="14">
        <v>2684.0</v>
      </c>
      <c r="C9" s="12" t="s">
        <v>14</v>
      </c>
      <c r="D9" s="18" t="s">
        <v>49</v>
      </c>
      <c r="E9" s="14">
        <v>2359.0</v>
      </c>
      <c r="F9" s="14">
        <v>195.0</v>
      </c>
      <c r="G9" s="14">
        <v>108.0</v>
      </c>
      <c r="H9" s="14">
        <v>3.0</v>
      </c>
      <c r="I9" s="20">
        <f t="shared" si="1"/>
        <v>306</v>
      </c>
      <c r="J9" s="22">
        <f t="shared" si="2"/>
        <v>0.1297159813</v>
      </c>
    </row>
    <row r="10">
      <c r="A10" s="41" t="s">
        <v>19</v>
      </c>
      <c r="B10" s="24"/>
      <c r="C10" s="3"/>
      <c r="D10" s="25"/>
      <c r="E10" s="42">
        <f t="shared" ref="E10:I10" si="3">SUM(E3:E9)</f>
        <v>97695</v>
      </c>
      <c r="F10" s="44">
        <f t="shared" si="3"/>
        <v>3697</v>
      </c>
      <c r="G10" s="44">
        <f t="shared" si="3"/>
        <v>420</v>
      </c>
      <c r="H10" s="44">
        <f t="shared" si="3"/>
        <v>309</v>
      </c>
      <c r="I10" s="44">
        <f t="shared" si="3"/>
        <v>4426</v>
      </c>
      <c r="J10" s="22">
        <f t="shared" si="2"/>
        <v>0.04530426327</v>
      </c>
    </row>
    <row r="11">
      <c r="A11" s="1" t="s">
        <v>55</v>
      </c>
    </row>
    <row r="12">
      <c r="A12" s="12" t="s">
        <v>56</v>
      </c>
      <c r="B12" s="14">
        <v>104000.0</v>
      </c>
      <c r="C12" s="16" t="s">
        <v>13</v>
      </c>
      <c r="D12" s="18" t="s">
        <v>57</v>
      </c>
      <c r="E12" s="14">
        <v>6666.0</v>
      </c>
      <c r="F12" s="16">
        <v>502.0</v>
      </c>
      <c r="G12" s="16">
        <v>104.0</v>
      </c>
      <c r="H12" s="16">
        <v>29.0</v>
      </c>
      <c r="I12" s="20">
        <f t="shared" ref="I12:I27" si="4">SUM(F12:H12)</f>
        <v>635</v>
      </c>
      <c r="J12" s="22">
        <f t="shared" ref="J12:J28" si="5">I12/E12</f>
        <v>0.09525952595</v>
      </c>
    </row>
    <row r="13">
      <c r="A13" s="12" t="s">
        <v>63</v>
      </c>
      <c r="B13" s="14">
        <v>61000.0</v>
      </c>
      <c r="C13" s="16" t="s">
        <v>13</v>
      </c>
      <c r="D13" s="18" t="s">
        <v>64</v>
      </c>
      <c r="E13" s="14">
        <v>5616.0</v>
      </c>
      <c r="F13" s="16">
        <v>360.0</v>
      </c>
      <c r="G13" s="16">
        <v>107.0</v>
      </c>
      <c r="H13" s="16">
        <v>12.0</v>
      </c>
      <c r="I13" s="20">
        <f t="shared" si="4"/>
        <v>479</v>
      </c>
      <c r="J13" s="22">
        <f t="shared" si="5"/>
        <v>0.08529202279</v>
      </c>
    </row>
    <row r="14">
      <c r="A14" s="12" t="s">
        <v>65</v>
      </c>
      <c r="B14" s="14">
        <v>51000.0</v>
      </c>
      <c r="C14" s="16" t="s">
        <v>13</v>
      </c>
      <c r="D14" s="18" t="s">
        <v>66</v>
      </c>
      <c r="E14" s="14">
        <v>3959.0</v>
      </c>
      <c r="F14" s="16">
        <v>322.0</v>
      </c>
      <c r="G14" s="16">
        <v>82.0</v>
      </c>
      <c r="H14" s="16">
        <v>11.0</v>
      </c>
      <c r="I14" s="20">
        <f t="shared" si="4"/>
        <v>415</v>
      </c>
      <c r="J14" s="22">
        <f t="shared" si="5"/>
        <v>0.1048244506</v>
      </c>
    </row>
    <row r="15">
      <c r="A15" s="12" t="s">
        <v>71</v>
      </c>
      <c r="B15" s="14">
        <v>40000.0</v>
      </c>
      <c r="C15" s="16" t="s">
        <v>13</v>
      </c>
      <c r="D15" s="18" t="s">
        <v>72</v>
      </c>
      <c r="E15" s="14">
        <v>4721.0</v>
      </c>
      <c r="F15" s="16">
        <v>104.0</v>
      </c>
      <c r="G15" s="16">
        <v>2.0</v>
      </c>
      <c r="H15" s="16">
        <v>1.0</v>
      </c>
      <c r="I15" s="20">
        <f t="shared" si="4"/>
        <v>107</v>
      </c>
      <c r="J15" s="22">
        <f t="shared" si="5"/>
        <v>0.02266468968</v>
      </c>
    </row>
    <row r="16">
      <c r="A16" s="12" t="s">
        <v>76</v>
      </c>
      <c r="B16" s="14">
        <v>31000.0</v>
      </c>
      <c r="C16" s="16" t="s">
        <v>13</v>
      </c>
      <c r="D16" s="18" t="s">
        <v>77</v>
      </c>
      <c r="E16" s="14">
        <v>5525.0</v>
      </c>
      <c r="F16" s="16">
        <v>263.0</v>
      </c>
      <c r="G16" s="16">
        <v>73.0</v>
      </c>
      <c r="H16" s="16">
        <v>8.0</v>
      </c>
      <c r="I16" s="20">
        <f t="shared" si="4"/>
        <v>344</v>
      </c>
      <c r="J16" s="22">
        <f t="shared" si="5"/>
        <v>0.06226244344</v>
      </c>
    </row>
    <row r="17">
      <c r="A17" s="12" t="s">
        <v>81</v>
      </c>
      <c r="B17" s="14">
        <v>22000.0</v>
      </c>
      <c r="C17" s="16" t="s">
        <v>13</v>
      </c>
      <c r="D17" s="18" t="s">
        <v>83</v>
      </c>
      <c r="E17" s="14">
        <v>1640.0</v>
      </c>
      <c r="F17" s="16">
        <v>190.0</v>
      </c>
      <c r="G17" s="16">
        <v>149.0</v>
      </c>
      <c r="H17" s="16">
        <v>4.0</v>
      </c>
      <c r="I17" s="20">
        <f t="shared" si="4"/>
        <v>343</v>
      </c>
      <c r="J17" s="22">
        <f t="shared" si="5"/>
        <v>0.2091463415</v>
      </c>
    </row>
    <row r="18">
      <c r="A18" s="12" t="s">
        <v>86</v>
      </c>
      <c r="B18" s="14">
        <v>16000.0</v>
      </c>
      <c r="C18" s="16" t="s">
        <v>13</v>
      </c>
      <c r="D18" s="18" t="s">
        <v>87</v>
      </c>
      <c r="E18" s="14">
        <v>1177.0</v>
      </c>
      <c r="F18" s="16">
        <v>104.0</v>
      </c>
      <c r="G18" s="16">
        <v>30.0</v>
      </c>
      <c r="H18" s="16">
        <v>17.0</v>
      </c>
      <c r="I18" s="20">
        <f t="shared" si="4"/>
        <v>151</v>
      </c>
      <c r="J18" s="22">
        <f t="shared" si="5"/>
        <v>0.1282922685</v>
      </c>
    </row>
    <row r="19">
      <c r="A19" s="12" t="s">
        <v>88</v>
      </c>
      <c r="B19" s="14">
        <v>15000.0</v>
      </c>
      <c r="C19" s="16" t="s">
        <v>13</v>
      </c>
      <c r="D19" s="18" t="s">
        <v>90</v>
      </c>
      <c r="E19" s="14">
        <v>5807.0</v>
      </c>
      <c r="F19" s="16">
        <v>210.0</v>
      </c>
      <c r="G19" s="16">
        <v>56.0</v>
      </c>
      <c r="H19" s="16">
        <v>11.0</v>
      </c>
      <c r="I19" s="20">
        <f t="shared" si="4"/>
        <v>277</v>
      </c>
      <c r="J19" s="22">
        <f t="shared" si="5"/>
        <v>0.04770105046</v>
      </c>
    </row>
    <row r="20">
      <c r="A20" s="12" t="s">
        <v>78</v>
      </c>
      <c r="B20" s="14">
        <v>11000.0</v>
      </c>
      <c r="C20" s="16" t="s">
        <v>13</v>
      </c>
      <c r="D20" s="18" t="s">
        <v>93</v>
      </c>
      <c r="E20" s="14">
        <v>3537.0</v>
      </c>
      <c r="F20" s="16">
        <v>78.0</v>
      </c>
      <c r="G20" s="16">
        <v>63.0</v>
      </c>
      <c r="H20" s="16">
        <v>7.0</v>
      </c>
      <c r="I20" s="20">
        <f t="shared" si="4"/>
        <v>148</v>
      </c>
      <c r="J20" s="22">
        <f t="shared" si="5"/>
        <v>0.04184337009</v>
      </c>
    </row>
    <row r="21">
      <c r="A21" s="12" t="s">
        <v>69</v>
      </c>
      <c r="B21" s="14">
        <v>11000.0</v>
      </c>
      <c r="C21" s="16" t="s">
        <v>13</v>
      </c>
      <c r="D21" s="18" t="s">
        <v>98</v>
      </c>
      <c r="E21" s="14">
        <v>3373.0</v>
      </c>
      <c r="F21" s="16">
        <v>108.0</v>
      </c>
      <c r="G21" s="16">
        <v>49.0</v>
      </c>
      <c r="H21" s="16">
        <v>12.0</v>
      </c>
      <c r="I21" s="20">
        <f t="shared" si="4"/>
        <v>169</v>
      </c>
      <c r="J21" s="22">
        <f t="shared" si="5"/>
        <v>0.05010376519</v>
      </c>
    </row>
    <row r="22">
      <c r="A22" s="12" t="s">
        <v>67</v>
      </c>
      <c r="B22" s="14">
        <v>34000.0</v>
      </c>
      <c r="C22" s="16" t="s">
        <v>13</v>
      </c>
      <c r="D22" s="18" t="s">
        <v>100</v>
      </c>
      <c r="E22" s="14">
        <v>6707.0</v>
      </c>
      <c r="F22" s="16">
        <v>234.0</v>
      </c>
      <c r="G22" s="16">
        <v>134.0</v>
      </c>
      <c r="H22" s="16">
        <v>24.0</v>
      </c>
      <c r="I22" s="20">
        <f t="shared" si="4"/>
        <v>392</v>
      </c>
      <c r="J22" s="22">
        <f t="shared" si="5"/>
        <v>0.05844639928</v>
      </c>
    </row>
    <row r="23">
      <c r="A23" s="12" t="s">
        <v>104</v>
      </c>
      <c r="B23" s="14">
        <v>51000.0</v>
      </c>
      <c r="C23" s="16" t="s">
        <v>13</v>
      </c>
      <c r="D23" s="18" t="s">
        <v>106</v>
      </c>
      <c r="E23" s="14">
        <v>1275.0</v>
      </c>
      <c r="F23" s="16">
        <v>110.0</v>
      </c>
      <c r="G23" s="16">
        <v>59.0</v>
      </c>
      <c r="H23" s="16">
        <v>12.0</v>
      </c>
      <c r="I23" s="20">
        <f t="shared" si="4"/>
        <v>181</v>
      </c>
      <c r="J23" s="22">
        <f t="shared" si="5"/>
        <v>0.1419607843</v>
      </c>
    </row>
    <row r="24">
      <c r="A24" s="12" t="s">
        <v>108</v>
      </c>
      <c r="B24" s="14">
        <v>51000.0</v>
      </c>
      <c r="C24" s="16" t="s">
        <v>13</v>
      </c>
      <c r="D24" s="18" t="s">
        <v>109</v>
      </c>
      <c r="E24" s="14">
        <v>9999.0</v>
      </c>
      <c r="F24" s="16">
        <v>157.0</v>
      </c>
      <c r="G24" s="16">
        <v>21.0</v>
      </c>
      <c r="H24" s="16">
        <v>6.0</v>
      </c>
      <c r="I24" s="20">
        <f t="shared" si="4"/>
        <v>184</v>
      </c>
      <c r="J24" s="22">
        <f t="shared" si="5"/>
        <v>0.01840184018</v>
      </c>
    </row>
    <row r="25">
      <c r="A25" s="12" t="s">
        <v>114</v>
      </c>
      <c r="B25" s="14">
        <v>52000.0</v>
      </c>
      <c r="C25" s="16" t="s">
        <v>13</v>
      </c>
      <c r="D25" s="18" t="s">
        <v>115</v>
      </c>
      <c r="E25" s="14">
        <v>5393.0</v>
      </c>
      <c r="F25" s="16">
        <v>205.0</v>
      </c>
      <c r="G25" s="16">
        <v>22.0</v>
      </c>
      <c r="H25" s="16">
        <v>11.0</v>
      </c>
      <c r="I25" s="20">
        <f t="shared" si="4"/>
        <v>238</v>
      </c>
      <c r="J25" s="22">
        <f t="shared" si="5"/>
        <v>0.04413128129</v>
      </c>
    </row>
    <row r="26">
      <c r="A26" s="12" t="s">
        <v>121</v>
      </c>
      <c r="B26" s="14">
        <v>9212.0</v>
      </c>
      <c r="C26" s="16" t="s">
        <v>13</v>
      </c>
      <c r="D26" s="18" t="s">
        <v>122</v>
      </c>
      <c r="E26" s="14">
        <v>3669.0</v>
      </c>
      <c r="F26" s="16">
        <v>133.0</v>
      </c>
      <c r="G26" s="16">
        <v>56.0</v>
      </c>
      <c r="H26" s="16">
        <v>14.0</v>
      </c>
      <c r="I26" s="20">
        <f t="shared" si="4"/>
        <v>203</v>
      </c>
      <c r="J26" s="22">
        <f t="shared" si="5"/>
        <v>0.05532842736</v>
      </c>
    </row>
    <row r="27">
      <c r="A27" s="12" t="s">
        <v>128</v>
      </c>
      <c r="B27" s="14">
        <v>4677.0</v>
      </c>
      <c r="C27" s="16" t="s">
        <v>13</v>
      </c>
      <c r="D27" s="18" t="s">
        <v>129</v>
      </c>
      <c r="E27" s="14">
        <v>3089.0</v>
      </c>
      <c r="F27" s="16">
        <v>112.0</v>
      </c>
      <c r="G27" s="16">
        <v>6.0</v>
      </c>
      <c r="H27" s="16">
        <v>0.0</v>
      </c>
      <c r="I27" s="20">
        <f t="shared" si="4"/>
        <v>118</v>
      </c>
      <c r="J27" s="22">
        <f t="shared" si="5"/>
        <v>0.03820006475</v>
      </c>
    </row>
    <row r="28">
      <c r="A28" s="41" t="s">
        <v>19</v>
      </c>
      <c r="B28" s="24"/>
      <c r="C28" s="3"/>
      <c r="D28" s="25"/>
      <c r="E28" s="60">
        <f t="shared" ref="E28:I28" si="6">SUM(E12:E27)</f>
        <v>72153</v>
      </c>
      <c r="F28" s="60">
        <f t="shared" si="6"/>
        <v>3192</v>
      </c>
      <c r="G28" s="60">
        <f t="shared" si="6"/>
        <v>1013</v>
      </c>
      <c r="H28" s="60">
        <f t="shared" si="6"/>
        <v>179</v>
      </c>
      <c r="I28" s="60">
        <f t="shared" si="6"/>
        <v>4384</v>
      </c>
      <c r="J28" s="22">
        <f t="shared" si="5"/>
        <v>0.06075977437</v>
      </c>
    </row>
    <row r="29">
      <c r="A29" s="81" t="s">
        <v>140</v>
      </c>
    </row>
    <row r="30">
      <c r="A30" s="4" t="s">
        <v>1</v>
      </c>
      <c r="B30" s="6" t="s">
        <v>142</v>
      </c>
      <c r="C30" s="6" t="s">
        <v>3</v>
      </c>
      <c r="D30" s="9" t="s">
        <v>4</v>
      </c>
      <c r="E30" s="6" t="s">
        <v>5</v>
      </c>
      <c r="F30" s="6" t="s">
        <v>6</v>
      </c>
      <c r="G30" s="6" t="s">
        <v>7</v>
      </c>
      <c r="H30" s="6" t="s">
        <v>8</v>
      </c>
      <c r="I30" s="6" t="s">
        <v>9</v>
      </c>
      <c r="J30" s="6" t="s">
        <v>10</v>
      </c>
    </row>
    <row r="31">
      <c r="A31" s="82" t="s">
        <v>12</v>
      </c>
      <c r="B31" s="75" t="s">
        <v>144</v>
      </c>
      <c r="C31" s="12" t="s">
        <v>14</v>
      </c>
      <c r="D31" s="51" t="s">
        <v>145</v>
      </c>
      <c r="E31" s="16">
        <v>253000.0</v>
      </c>
      <c r="F31" s="16">
        <v>3635.0</v>
      </c>
      <c r="G31" s="16">
        <v>169.0</v>
      </c>
      <c r="H31" s="16">
        <v>152.0</v>
      </c>
      <c r="I31" s="20">
        <f>SUM(F31:H31)</f>
        <v>3956</v>
      </c>
      <c r="J31" s="22">
        <f t="shared" ref="J31:J33" si="8">I31/E31</f>
        <v>0.01563636364</v>
      </c>
    </row>
    <row r="32">
      <c r="A32" s="41" t="s">
        <v>19</v>
      </c>
      <c r="B32" s="24"/>
      <c r="C32" s="3"/>
      <c r="D32" s="25"/>
      <c r="E32" s="60">
        <f t="shared" ref="E32:I32" si="7">SUM(E31)</f>
        <v>253000</v>
      </c>
      <c r="F32" s="60">
        <f t="shared" si="7"/>
        <v>3635</v>
      </c>
      <c r="G32" s="60">
        <f t="shared" si="7"/>
        <v>169</v>
      </c>
      <c r="H32" s="60">
        <f t="shared" si="7"/>
        <v>152</v>
      </c>
      <c r="I32" s="60">
        <f t="shared" si="7"/>
        <v>3956</v>
      </c>
      <c r="J32" s="22">
        <f t="shared" si="8"/>
        <v>0.01563636364</v>
      </c>
    </row>
    <row r="33">
      <c r="A33" s="61" t="s">
        <v>54</v>
      </c>
      <c r="B33" s="45"/>
      <c r="C33" s="3"/>
      <c r="D33" s="46"/>
      <c r="E33" s="62">
        <f t="shared" ref="E33:I33" si="9">E10+E28+E32</f>
        <v>422848</v>
      </c>
      <c r="F33" s="62">
        <f t="shared" si="9"/>
        <v>10524</v>
      </c>
      <c r="G33" s="62">
        <f t="shared" si="9"/>
        <v>1602</v>
      </c>
      <c r="H33" s="62">
        <f t="shared" si="9"/>
        <v>640</v>
      </c>
      <c r="I33" s="62">
        <f t="shared" si="9"/>
        <v>12766</v>
      </c>
      <c r="J33" s="63">
        <f t="shared" si="8"/>
        <v>0.03019051763</v>
      </c>
    </row>
    <row r="34">
      <c r="D34" s="64"/>
    </row>
    <row r="35">
      <c r="D35" s="64"/>
    </row>
    <row r="36">
      <c r="D36" s="64"/>
    </row>
    <row r="37">
      <c r="D37" s="64"/>
    </row>
    <row r="38">
      <c r="D38" s="64"/>
    </row>
    <row r="39">
      <c r="D39" s="64"/>
    </row>
    <row r="40">
      <c r="D40" s="64"/>
    </row>
    <row r="41">
      <c r="D41" s="64"/>
    </row>
    <row r="42">
      <c r="D42" s="64"/>
    </row>
    <row r="43">
      <c r="D43" s="64"/>
    </row>
    <row r="44">
      <c r="D44" s="64"/>
    </row>
    <row r="45">
      <c r="D45" s="64"/>
    </row>
    <row r="46">
      <c r="D46" s="64"/>
    </row>
    <row r="47">
      <c r="D47" s="64"/>
    </row>
    <row r="48">
      <c r="D48" s="64"/>
    </row>
    <row r="49">
      <c r="D49" s="64"/>
    </row>
    <row r="50">
      <c r="D50" s="64"/>
    </row>
    <row r="51">
      <c r="D51" s="64"/>
    </row>
    <row r="52">
      <c r="D52" s="64"/>
    </row>
    <row r="53">
      <c r="D53" s="64"/>
    </row>
    <row r="54">
      <c r="D54" s="64"/>
    </row>
    <row r="55">
      <c r="D55" s="64"/>
    </row>
    <row r="56">
      <c r="D56" s="64"/>
    </row>
    <row r="57">
      <c r="D57" s="64"/>
    </row>
    <row r="58">
      <c r="D58" s="64"/>
    </row>
    <row r="59">
      <c r="D59" s="64"/>
    </row>
    <row r="60">
      <c r="D60" s="64"/>
    </row>
    <row r="61">
      <c r="D61" s="64"/>
    </row>
    <row r="62">
      <c r="D62" s="64"/>
    </row>
    <row r="63">
      <c r="D63" s="64"/>
    </row>
    <row r="64">
      <c r="D64" s="64"/>
    </row>
    <row r="65">
      <c r="D65" s="64"/>
    </row>
    <row r="66">
      <c r="D66" s="64"/>
    </row>
    <row r="67">
      <c r="D67" s="64"/>
    </row>
    <row r="68">
      <c r="D68" s="64"/>
    </row>
    <row r="69">
      <c r="D69" s="64"/>
    </row>
    <row r="70">
      <c r="D70" s="64"/>
    </row>
    <row r="71">
      <c r="D71" s="64"/>
    </row>
    <row r="72">
      <c r="D72" s="64"/>
    </row>
    <row r="73">
      <c r="D73" s="64"/>
    </row>
    <row r="74">
      <c r="D74" s="64"/>
    </row>
    <row r="75">
      <c r="D75" s="64"/>
    </row>
    <row r="76">
      <c r="D76" s="64"/>
    </row>
    <row r="77">
      <c r="D77" s="64"/>
    </row>
    <row r="78">
      <c r="D78" s="64"/>
    </row>
    <row r="79">
      <c r="D79" s="64"/>
    </row>
    <row r="80">
      <c r="D80" s="64"/>
    </row>
    <row r="81">
      <c r="D81" s="64"/>
    </row>
    <row r="82">
      <c r="D82" s="64"/>
    </row>
    <row r="83">
      <c r="D83" s="64"/>
    </row>
    <row r="84">
      <c r="D84" s="64"/>
    </row>
    <row r="85">
      <c r="D85" s="64"/>
    </row>
    <row r="86">
      <c r="D86" s="64"/>
    </row>
    <row r="87">
      <c r="D87" s="64"/>
    </row>
    <row r="88">
      <c r="D88" s="64"/>
    </row>
    <row r="89">
      <c r="D89" s="64"/>
    </row>
    <row r="90">
      <c r="D90" s="64"/>
    </row>
    <row r="91">
      <c r="D91" s="64"/>
    </row>
    <row r="92">
      <c r="D92" s="64"/>
    </row>
    <row r="93">
      <c r="D93" s="64"/>
    </row>
    <row r="94">
      <c r="D94" s="64"/>
    </row>
    <row r="95">
      <c r="D95" s="64"/>
    </row>
    <row r="96">
      <c r="D96" s="64"/>
    </row>
    <row r="97">
      <c r="D97" s="64"/>
    </row>
    <row r="98">
      <c r="D98" s="64"/>
    </row>
    <row r="99">
      <c r="D99" s="64"/>
    </row>
    <row r="100">
      <c r="D100" s="64"/>
    </row>
    <row r="101">
      <c r="D101" s="64"/>
    </row>
    <row r="102">
      <c r="D102" s="64"/>
    </row>
    <row r="103">
      <c r="D103" s="64"/>
    </row>
    <row r="104">
      <c r="D104" s="64"/>
    </row>
    <row r="105">
      <c r="D105" s="64"/>
    </row>
    <row r="106">
      <c r="D106" s="64"/>
    </row>
    <row r="107">
      <c r="D107" s="64"/>
    </row>
    <row r="108">
      <c r="D108" s="64"/>
    </row>
    <row r="109">
      <c r="D109" s="64"/>
    </row>
    <row r="110">
      <c r="D110" s="64"/>
    </row>
    <row r="111">
      <c r="D111" s="64"/>
    </row>
    <row r="112">
      <c r="D112" s="64"/>
    </row>
    <row r="113">
      <c r="D113" s="64"/>
    </row>
    <row r="114">
      <c r="D114" s="64"/>
    </row>
    <row r="115">
      <c r="D115" s="64"/>
    </row>
    <row r="116">
      <c r="D116" s="64"/>
    </row>
    <row r="117">
      <c r="D117" s="64"/>
    </row>
    <row r="118">
      <c r="D118" s="64"/>
    </row>
    <row r="119">
      <c r="D119" s="64"/>
    </row>
    <row r="120">
      <c r="D120" s="64"/>
    </row>
    <row r="121">
      <c r="D121" s="64"/>
    </row>
    <row r="122">
      <c r="D122" s="64"/>
    </row>
    <row r="123">
      <c r="D123" s="64"/>
    </row>
    <row r="124">
      <c r="D124" s="64"/>
    </row>
    <row r="125">
      <c r="D125" s="64"/>
    </row>
    <row r="126">
      <c r="D126" s="64"/>
    </row>
    <row r="127">
      <c r="D127" s="64"/>
    </row>
    <row r="128">
      <c r="D128" s="64"/>
    </row>
    <row r="129">
      <c r="D129" s="64"/>
    </row>
    <row r="130">
      <c r="D130" s="64"/>
    </row>
    <row r="131">
      <c r="D131" s="64"/>
    </row>
    <row r="132">
      <c r="D132" s="64"/>
    </row>
    <row r="133">
      <c r="D133" s="64"/>
    </row>
    <row r="134">
      <c r="D134" s="64"/>
    </row>
    <row r="135">
      <c r="D135" s="64"/>
    </row>
    <row r="136">
      <c r="D136" s="64"/>
    </row>
    <row r="137">
      <c r="D137" s="64"/>
    </row>
    <row r="138">
      <c r="D138" s="64"/>
    </row>
    <row r="139">
      <c r="D139" s="64"/>
    </row>
    <row r="140">
      <c r="D140" s="64"/>
    </row>
    <row r="141">
      <c r="D141" s="64"/>
    </row>
    <row r="142">
      <c r="D142" s="64"/>
    </row>
    <row r="143">
      <c r="D143" s="64"/>
    </row>
    <row r="144">
      <c r="D144" s="64"/>
    </row>
    <row r="145">
      <c r="D145" s="64"/>
    </row>
    <row r="146">
      <c r="D146" s="64"/>
    </row>
    <row r="147">
      <c r="D147" s="64"/>
    </row>
    <row r="148">
      <c r="D148" s="64"/>
    </row>
    <row r="149">
      <c r="D149" s="64"/>
    </row>
    <row r="150">
      <c r="D150" s="64"/>
    </row>
    <row r="151">
      <c r="D151" s="64"/>
    </row>
    <row r="152">
      <c r="D152" s="64"/>
    </row>
    <row r="153">
      <c r="D153" s="64"/>
    </row>
    <row r="154">
      <c r="D154" s="64"/>
    </row>
    <row r="155">
      <c r="D155" s="64"/>
    </row>
    <row r="156">
      <c r="D156" s="64"/>
    </row>
    <row r="157">
      <c r="D157" s="64"/>
    </row>
    <row r="158">
      <c r="D158" s="64"/>
    </row>
    <row r="159">
      <c r="D159" s="64"/>
    </row>
    <row r="160">
      <c r="D160" s="64"/>
    </row>
    <row r="161">
      <c r="D161" s="64"/>
    </row>
    <row r="162">
      <c r="D162" s="64"/>
    </row>
    <row r="163">
      <c r="D163" s="64"/>
    </row>
    <row r="164">
      <c r="D164" s="64"/>
    </row>
    <row r="165">
      <c r="D165" s="64"/>
    </row>
    <row r="166">
      <c r="D166" s="64"/>
    </row>
    <row r="167">
      <c r="D167" s="64"/>
    </row>
    <row r="168">
      <c r="D168" s="64"/>
    </row>
    <row r="169">
      <c r="D169" s="64"/>
    </row>
    <row r="170">
      <c r="D170" s="64"/>
    </row>
    <row r="171">
      <c r="D171" s="64"/>
    </row>
    <row r="172">
      <c r="D172" s="64"/>
    </row>
    <row r="173">
      <c r="D173" s="64"/>
    </row>
    <row r="174">
      <c r="D174" s="64"/>
    </row>
    <row r="175">
      <c r="D175" s="64"/>
    </row>
    <row r="176">
      <c r="D176" s="64"/>
    </row>
    <row r="177">
      <c r="D177" s="64"/>
    </row>
    <row r="178">
      <c r="D178" s="64"/>
    </row>
    <row r="179">
      <c r="D179" s="64"/>
    </row>
    <row r="180">
      <c r="D180" s="64"/>
    </row>
    <row r="181">
      <c r="D181" s="64"/>
    </row>
    <row r="182">
      <c r="D182" s="64"/>
    </row>
    <row r="183">
      <c r="D183" s="64"/>
    </row>
    <row r="184">
      <c r="D184" s="64"/>
    </row>
    <row r="185">
      <c r="D185" s="64"/>
    </row>
    <row r="186">
      <c r="D186" s="64"/>
    </row>
    <row r="187">
      <c r="D187" s="64"/>
    </row>
    <row r="188">
      <c r="D188" s="64"/>
    </row>
    <row r="189">
      <c r="D189" s="64"/>
    </row>
    <row r="190">
      <c r="D190" s="64"/>
    </row>
    <row r="191">
      <c r="D191" s="64"/>
    </row>
    <row r="192">
      <c r="D192" s="64"/>
    </row>
    <row r="193">
      <c r="D193" s="64"/>
    </row>
    <row r="194">
      <c r="D194" s="64"/>
    </row>
    <row r="195">
      <c r="D195" s="64"/>
    </row>
    <row r="196">
      <c r="D196" s="64"/>
    </row>
    <row r="197">
      <c r="D197" s="64"/>
    </row>
    <row r="198">
      <c r="D198" s="64"/>
    </row>
    <row r="199">
      <c r="D199" s="64"/>
    </row>
    <row r="200">
      <c r="D200" s="64"/>
    </row>
    <row r="201">
      <c r="D201" s="64"/>
    </row>
    <row r="202">
      <c r="D202" s="64"/>
    </row>
    <row r="203">
      <c r="D203" s="64"/>
    </row>
    <row r="204">
      <c r="D204" s="64"/>
    </row>
    <row r="205">
      <c r="D205" s="64"/>
    </row>
    <row r="206">
      <c r="D206" s="64"/>
    </row>
    <row r="207">
      <c r="D207" s="64"/>
    </row>
    <row r="208">
      <c r="D208" s="64"/>
    </row>
    <row r="209">
      <c r="D209" s="64"/>
    </row>
    <row r="210">
      <c r="D210" s="64"/>
    </row>
    <row r="211">
      <c r="D211" s="64"/>
    </row>
    <row r="212">
      <c r="D212" s="64"/>
    </row>
    <row r="213">
      <c r="D213" s="64"/>
    </row>
    <row r="214">
      <c r="D214" s="64"/>
    </row>
    <row r="215">
      <c r="D215" s="64"/>
    </row>
    <row r="216">
      <c r="D216" s="64"/>
    </row>
    <row r="217">
      <c r="D217" s="64"/>
    </row>
    <row r="218">
      <c r="D218" s="64"/>
    </row>
    <row r="219">
      <c r="D219" s="64"/>
    </row>
    <row r="220">
      <c r="D220" s="64"/>
    </row>
    <row r="221">
      <c r="D221" s="64"/>
    </row>
    <row r="222">
      <c r="D222" s="64"/>
    </row>
    <row r="223">
      <c r="D223" s="64"/>
    </row>
    <row r="224">
      <c r="D224" s="64"/>
    </row>
    <row r="225">
      <c r="D225" s="64"/>
    </row>
    <row r="226">
      <c r="D226" s="64"/>
    </row>
    <row r="227">
      <c r="D227" s="64"/>
    </row>
    <row r="228">
      <c r="D228" s="64"/>
    </row>
    <row r="229">
      <c r="D229" s="64"/>
    </row>
    <row r="230">
      <c r="D230" s="64"/>
    </row>
    <row r="231">
      <c r="D231" s="64"/>
    </row>
    <row r="232">
      <c r="D232" s="64"/>
    </row>
    <row r="233">
      <c r="D233" s="64"/>
    </row>
    <row r="234">
      <c r="D234" s="64"/>
    </row>
    <row r="235">
      <c r="D235" s="64"/>
    </row>
    <row r="236">
      <c r="D236" s="64"/>
    </row>
    <row r="237">
      <c r="D237" s="64"/>
    </row>
    <row r="238">
      <c r="D238" s="64"/>
    </row>
    <row r="239">
      <c r="D239" s="64"/>
    </row>
    <row r="240">
      <c r="D240" s="64"/>
    </row>
    <row r="241">
      <c r="D241" s="64"/>
    </row>
    <row r="242">
      <c r="D242" s="64"/>
    </row>
    <row r="243">
      <c r="D243" s="64"/>
    </row>
    <row r="244">
      <c r="D244" s="64"/>
    </row>
    <row r="245">
      <c r="D245" s="64"/>
    </row>
    <row r="246">
      <c r="D246" s="64"/>
    </row>
    <row r="247">
      <c r="D247" s="64"/>
    </row>
    <row r="248">
      <c r="D248" s="64"/>
    </row>
    <row r="249">
      <c r="D249" s="64"/>
    </row>
    <row r="250">
      <c r="D250" s="64"/>
    </row>
    <row r="251">
      <c r="D251" s="64"/>
    </row>
    <row r="252">
      <c r="D252" s="64"/>
    </row>
    <row r="253">
      <c r="D253" s="64"/>
    </row>
    <row r="254">
      <c r="D254" s="64"/>
    </row>
    <row r="255">
      <c r="D255" s="64"/>
    </row>
    <row r="256">
      <c r="D256" s="64"/>
    </row>
    <row r="257">
      <c r="D257" s="64"/>
    </row>
    <row r="258">
      <c r="D258" s="64"/>
    </row>
    <row r="259">
      <c r="D259" s="64"/>
    </row>
    <row r="260">
      <c r="D260" s="64"/>
    </row>
    <row r="261">
      <c r="D261" s="64"/>
    </row>
    <row r="262">
      <c r="D262" s="64"/>
    </row>
    <row r="263">
      <c r="D263" s="64"/>
    </row>
    <row r="264">
      <c r="D264" s="64"/>
    </row>
    <row r="265">
      <c r="D265" s="64"/>
    </row>
    <row r="266">
      <c r="D266" s="64"/>
    </row>
    <row r="267">
      <c r="D267" s="64"/>
    </row>
    <row r="268">
      <c r="D268" s="64"/>
    </row>
    <row r="269">
      <c r="D269" s="64"/>
    </row>
    <row r="270">
      <c r="D270" s="64"/>
    </row>
    <row r="271">
      <c r="D271" s="64"/>
    </row>
    <row r="272">
      <c r="D272" s="64"/>
    </row>
    <row r="273">
      <c r="D273" s="64"/>
    </row>
    <row r="274">
      <c r="D274" s="64"/>
    </row>
    <row r="275">
      <c r="D275" s="64"/>
    </row>
    <row r="276">
      <c r="D276" s="64"/>
    </row>
    <row r="277">
      <c r="D277" s="64"/>
    </row>
    <row r="278">
      <c r="D278" s="64"/>
    </row>
    <row r="279">
      <c r="D279" s="64"/>
    </row>
    <row r="280">
      <c r="D280" s="64"/>
    </row>
    <row r="281">
      <c r="D281" s="64"/>
    </row>
    <row r="282">
      <c r="D282" s="64"/>
    </row>
    <row r="283">
      <c r="D283" s="64"/>
    </row>
    <row r="284">
      <c r="D284" s="64"/>
    </row>
    <row r="285">
      <c r="D285" s="64"/>
    </row>
    <row r="286">
      <c r="D286" s="64"/>
    </row>
    <row r="287">
      <c r="D287" s="64"/>
    </row>
    <row r="288">
      <c r="D288" s="64"/>
    </row>
    <row r="289">
      <c r="D289" s="64"/>
    </row>
    <row r="290">
      <c r="D290" s="64"/>
    </row>
    <row r="291">
      <c r="D291" s="64"/>
    </row>
    <row r="292">
      <c r="D292" s="64"/>
    </row>
    <row r="293">
      <c r="D293" s="64"/>
    </row>
    <row r="294">
      <c r="D294" s="64"/>
    </row>
    <row r="295">
      <c r="D295" s="64"/>
    </row>
    <row r="296">
      <c r="D296" s="64"/>
    </row>
    <row r="297">
      <c r="D297" s="64"/>
    </row>
    <row r="298">
      <c r="D298" s="64"/>
    </row>
    <row r="299">
      <c r="D299" s="64"/>
    </row>
    <row r="300">
      <c r="D300" s="64"/>
    </row>
    <row r="301">
      <c r="D301" s="64"/>
    </row>
    <row r="302">
      <c r="D302" s="64"/>
    </row>
    <row r="303">
      <c r="D303" s="64"/>
    </row>
    <row r="304">
      <c r="D304" s="64"/>
    </row>
    <row r="305">
      <c r="D305" s="64"/>
    </row>
    <row r="306">
      <c r="D306" s="64"/>
    </row>
    <row r="307">
      <c r="D307" s="64"/>
    </row>
    <row r="308">
      <c r="D308" s="64"/>
    </row>
    <row r="309">
      <c r="D309" s="64"/>
    </row>
    <row r="310">
      <c r="D310" s="64"/>
    </row>
    <row r="311">
      <c r="D311" s="64"/>
    </row>
    <row r="312">
      <c r="D312" s="64"/>
    </row>
    <row r="313">
      <c r="D313" s="64"/>
    </row>
    <row r="314">
      <c r="D314" s="64"/>
    </row>
    <row r="315">
      <c r="D315" s="64"/>
    </row>
    <row r="316">
      <c r="D316" s="64"/>
    </row>
    <row r="317">
      <c r="D317" s="64"/>
    </row>
    <row r="318">
      <c r="D318" s="64"/>
    </row>
    <row r="319">
      <c r="D319" s="64"/>
    </row>
    <row r="320">
      <c r="D320" s="64"/>
    </row>
    <row r="321">
      <c r="D321" s="64"/>
    </row>
    <row r="322">
      <c r="D322" s="64"/>
    </row>
    <row r="323">
      <c r="D323" s="64"/>
    </row>
    <row r="324">
      <c r="D324" s="64"/>
    </row>
    <row r="325">
      <c r="D325" s="64"/>
    </row>
    <row r="326">
      <c r="D326" s="64"/>
    </row>
    <row r="327">
      <c r="D327" s="64"/>
    </row>
    <row r="328">
      <c r="D328" s="64"/>
    </row>
    <row r="329">
      <c r="D329" s="64"/>
    </row>
    <row r="330">
      <c r="D330" s="64"/>
    </row>
    <row r="331">
      <c r="D331" s="64"/>
    </row>
    <row r="332">
      <c r="D332" s="64"/>
    </row>
    <row r="333">
      <c r="D333" s="64"/>
    </row>
    <row r="334">
      <c r="D334" s="64"/>
    </row>
    <row r="335">
      <c r="D335" s="64"/>
    </row>
    <row r="336">
      <c r="D336" s="64"/>
    </row>
    <row r="337">
      <c r="D337" s="64"/>
    </row>
    <row r="338">
      <c r="D338" s="64"/>
    </row>
    <row r="339">
      <c r="D339" s="64"/>
    </row>
    <row r="340">
      <c r="D340" s="64"/>
    </row>
    <row r="341">
      <c r="D341" s="64"/>
    </row>
    <row r="342">
      <c r="D342" s="64"/>
    </row>
    <row r="343">
      <c r="D343" s="64"/>
    </row>
    <row r="344">
      <c r="D344" s="64"/>
    </row>
    <row r="345">
      <c r="D345" s="64"/>
    </row>
    <row r="346">
      <c r="D346" s="64"/>
    </row>
    <row r="347">
      <c r="D347" s="64"/>
    </row>
    <row r="348">
      <c r="D348" s="64"/>
    </row>
    <row r="349">
      <c r="D349" s="64"/>
    </row>
    <row r="350">
      <c r="D350" s="64"/>
    </row>
    <row r="351">
      <c r="D351" s="64"/>
    </row>
    <row r="352">
      <c r="D352" s="64"/>
    </row>
    <row r="353">
      <c r="D353" s="64"/>
    </row>
    <row r="354">
      <c r="D354" s="64"/>
    </row>
    <row r="355">
      <c r="D355" s="64"/>
    </row>
    <row r="356">
      <c r="D356" s="64"/>
    </row>
    <row r="357">
      <c r="D357" s="64"/>
    </row>
    <row r="358">
      <c r="D358" s="64"/>
    </row>
    <row r="359">
      <c r="D359" s="64"/>
    </row>
    <row r="360">
      <c r="D360" s="64"/>
    </row>
    <row r="361">
      <c r="D361" s="64"/>
    </row>
    <row r="362">
      <c r="D362" s="64"/>
    </row>
    <row r="363">
      <c r="D363" s="64"/>
    </row>
    <row r="364">
      <c r="D364" s="64"/>
    </row>
    <row r="365">
      <c r="D365" s="64"/>
    </row>
    <row r="366">
      <c r="D366" s="64"/>
    </row>
    <row r="367">
      <c r="D367" s="64"/>
    </row>
    <row r="368">
      <c r="D368" s="64"/>
    </row>
    <row r="369">
      <c r="D369" s="64"/>
    </row>
    <row r="370">
      <c r="D370" s="64"/>
    </row>
    <row r="371">
      <c r="D371" s="64"/>
    </row>
    <row r="372">
      <c r="D372" s="64"/>
    </row>
    <row r="373">
      <c r="D373" s="64"/>
    </row>
    <row r="374">
      <c r="D374" s="64"/>
    </row>
    <row r="375">
      <c r="D375" s="64"/>
    </row>
    <row r="376">
      <c r="D376" s="64"/>
    </row>
    <row r="377">
      <c r="D377" s="64"/>
    </row>
    <row r="378">
      <c r="D378" s="64"/>
    </row>
    <row r="379">
      <c r="D379" s="64"/>
    </row>
    <row r="380">
      <c r="D380" s="64"/>
    </row>
    <row r="381">
      <c r="D381" s="64"/>
    </row>
    <row r="382">
      <c r="D382" s="64"/>
    </row>
    <row r="383">
      <c r="D383" s="64"/>
    </row>
    <row r="384">
      <c r="D384" s="64"/>
    </row>
    <row r="385">
      <c r="D385" s="64"/>
    </row>
    <row r="386">
      <c r="D386" s="64"/>
    </row>
    <row r="387">
      <c r="D387" s="64"/>
    </row>
    <row r="388">
      <c r="D388" s="64"/>
    </row>
    <row r="389">
      <c r="D389" s="64"/>
    </row>
    <row r="390">
      <c r="D390" s="64"/>
    </row>
    <row r="391">
      <c r="D391" s="64"/>
    </row>
    <row r="392">
      <c r="D392" s="64"/>
    </row>
    <row r="393">
      <c r="D393" s="64"/>
    </row>
    <row r="394">
      <c r="D394" s="64"/>
    </row>
    <row r="395">
      <c r="D395" s="64"/>
    </row>
    <row r="396">
      <c r="D396" s="64"/>
    </row>
    <row r="397">
      <c r="D397" s="64"/>
    </row>
    <row r="398">
      <c r="D398" s="64"/>
    </row>
    <row r="399">
      <c r="D399" s="64"/>
    </row>
    <row r="400">
      <c r="D400" s="64"/>
    </row>
    <row r="401">
      <c r="D401" s="64"/>
    </row>
    <row r="402">
      <c r="D402" s="64"/>
    </row>
    <row r="403">
      <c r="D403" s="64"/>
    </row>
    <row r="404">
      <c r="D404" s="64"/>
    </row>
    <row r="405">
      <c r="D405" s="64"/>
    </row>
    <row r="406">
      <c r="D406" s="64"/>
    </row>
    <row r="407">
      <c r="D407" s="64"/>
    </row>
    <row r="408">
      <c r="D408" s="64"/>
    </row>
    <row r="409">
      <c r="D409" s="64"/>
    </row>
    <row r="410">
      <c r="D410" s="64"/>
    </row>
    <row r="411">
      <c r="D411" s="64"/>
    </row>
    <row r="412">
      <c r="D412" s="64"/>
    </row>
    <row r="413">
      <c r="D413" s="64"/>
    </row>
    <row r="414">
      <c r="D414" s="64"/>
    </row>
    <row r="415">
      <c r="D415" s="64"/>
    </row>
    <row r="416">
      <c r="D416" s="64"/>
    </row>
    <row r="417">
      <c r="D417" s="64"/>
    </row>
    <row r="418">
      <c r="D418" s="64"/>
    </row>
    <row r="419">
      <c r="D419" s="64"/>
    </row>
    <row r="420">
      <c r="D420" s="64"/>
    </row>
    <row r="421">
      <c r="D421" s="64"/>
    </row>
    <row r="422">
      <c r="D422" s="64"/>
    </row>
    <row r="423">
      <c r="D423" s="64"/>
    </row>
    <row r="424">
      <c r="D424" s="64"/>
    </row>
    <row r="425">
      <c r="D425" s="64"/>
    </row>
    <row r="426">
      <c r="D426" s="64"/>
    </row>
    <row r="427">
      <c r="D427" s="64"/>
    </row>
    <row r="428">
      <c r="D428" s="64"/>
    </row>
    <row r="429">
      <c r="D429" s="64"/>
    </row>
    <row r="430">
      <c r="D430" s="64"/>
    </row>
    <row r="431">
      <c r="D431" s="64"/>
    </row>
    <row r="432">
      <c r="D432" s="64"/>
    </row>
    <row r="433">
      <c r="D433" s="64"/>
    </row>
    <row r="434">
      <c r="D434" s="64"/>
    </row>
    <row r="435">
      <c r="D435" s="64"/>
    </row>
    <row r="436">
      <c r="D436" s="64"/>
    </row>
    <row r="437">
      <c r="D437" s="64"/>
    </row>
    <row r="438">
      <c r="D438" s="64"/>
    </row>
    <row r="439">
      <c r="D439" s="64"/>
    </row>
    <row r="440">
      <c r="D440" s="64"/>
    </row>
    <row r="441">
      <c r="D441" s="64"/>
    </row>
    <row r="442">
      <c r="D442" s="64"/>
    </row>
    <row r="443">
      <c r="D443" s="64"/>
    </row>
    <row r="444">
      <c r="D444" s="64"/>
    </row>
    <row r="445">
      <c r="D445" s="64"/>
    </row>
    <row r="446">
      <c r="D446" s="64"/>
    </row>
    <row r="447">
      <c r="D447" s="64"/>
    </row>
    <row r="448">
      <c r="D448" s="64"/>
    </row>
    <row r="449">
      <c r="D449" s="64"/>
    </row>
    <row r="450">
      <c r="D450" s="64"/>
    </row>
    <row r="451">
      <c r="D451" s="64"/>
    </row>
    <row r="452">
      <c r="D452" s="64"/>
    </row>
    <row r="453">
      <c r="D453" s="64"/>
    </row>
    <row r="454">
      <c r="D454" s="64"/>
    </row>
    <row r="455">
      <c r="D455" s="64"/>
    </row>
    <row r="456">
      <c r="D456" s="64"/>
    </row>
    <row r="457">
      <c r="D457" s="64"/>
    </row>
    <row r="458">
      <c r="D458" s="64"/>
    </row>
    <row r="459">
      <c r="D459" s="64"/>
    </row>
    <row r="460">
      <c r="D460" s="64"/>
    </row>
    <row r="461">
      <c r="D461" s="64"/>
    </row>
    <row r="462">
      <c r="D462" s="64"/>
    </row>
    <row r="463">
      <c r="D463" s="64"/>
    </row>
    <row r="464">
      <c r="D464" s="64"/>
    </row>
    <row r="465">
      <c r="D465" s="64"/>
    </row>
    <row r="466">
      <c r="D466" s="64"/>
    </row>
    <row r="467">
      <c r="D467" s="64"/>
    </row>
    <row r="468">
      <c r="D468" s="64"/>
    </row>
    <row r="469">
      <c r="D469" s="64"/>
    </row>
    <row r="470">
      <c r="D470" s="64"/>
    </row>
    <row r="471">
      <c r="D471" s="64"/>
    </row>
    <row r="472">
      <c r="D472" s="64"/>
    </row>
    <row r="473">
      <c r="D473" s="64"/>
    </row>
    <row r="474">
      <c r="D474" s="64"/>
    </row>
    <row r="475">
      <c r="D475" s="64"/>
    </row>
    <row r="476">
      <c r="D476" s="64"/>
    </row>
    <row r="477">
      <c r="D477" s="64"/>
    </row>
    <row r="478">
      <c r="D478" s="64"/>
    </row>
    <row r="479">
      <c r="D479" s="64"/>
    </row>
    <row r="480">
      <c r="D480" s="64"/>
    </row>
    <row r="481">
      <c r="D481" s="64"/>
    </row>
    <row r="482">
      <c r="D482" s="64"/>
    </row>
    <row r="483">
      <c r="D483" s="64"/>
    </row>
    <row r="484">
      <c r="D484" s="64"/>
    </row>
    <row r="485">
      <c r="D485" s="64"/>
    </row>
    <row r="486">
      <c r="D486" s="64"/>
    </row>
    <row r="487">
      <c r="D487" s="64"/>
    </row>
    <row r="488">
      <c r="D488" s="64"/>
    </row>
    <row r="489">
      <c r="D489" s="64"/>
    </row>
    <row r="490">
      <c r="D490" s="64"/>
    </row>
    <row r="491">
      <c r="D491" s="64"/>
    </row>
    <row r="492">
      <c r="D492" s="64"/>
    </row>
    <row r="493">
      <c r="D493" s="64"/>
    </row>
    <row r="494">
      <c r="D494" s="64"/>
    </row>
    <row r="495">
      <c r="D495" s="64"/>
    </row>
    <row r="496">
      <c r="D496" s="64"/>
    </row>
    <row r="497">
      <c r="D497" s="64"/>
    </row>
    <row r="498">
      <c r="D498" s="64"/>
    </row>
    <row r="499">
      <c r="D499" s="64"/>
    </row>
    <row r="500">
      <c r="D500" s="64"/>
    </row>
    <row r="501">
      <c r="D501" s="64"/>
    </row>
    <row r="502">
      <c r="D502" s="64"/>
    </row>
    <row r="503">
      <c r="D503" s="64"/>
    </row>
    <row r="504">
      <c r="D504" s="64"/>
    </row>
    <row r="505">
      <c r="D505" s="64"/>
    </row>
    <row r="506">
      <c r="D506" s="64"/>
    </row>
    <row r="507">
      <c r="D507" s="64"/>
    </row>
    <row r="508">
      <c r="D508" s="64"/>
    </row>
    <row r="509">
      <c r="D509" s="64"/>
    </row>
    <row r="510">
      <c r="D510" s="64"/>
    </row>
    <row r="511">
      <c r="D511" s="64"/>
    </row>
    <row r="512">
      <c r="D512" s="64"/>
    </row>
    <row r="513">
      <c r="D513" s="64"/>
    </row>
    <row r="514">
      <c r="D514" s="64"/>
    </row>
    <row r="515">
      <c r="D515" s="64"/>
    </row>
    <row r="516">
      <c r="D516" s="64"/>
    </row>
    <row r="517">
      <c r="D517" s="64"/>
    </row>
    <row r="518">
      <c r="D518" s="64"/>
    </row>
    <row r="519">
      <c r="D519" s="64"/>
    </row>
    <row r="520">
      <c r="D520" s="64"/>
    </row>
    <row r="521">
      <c r="D521" s="64"/>
    </row>
    <row r="522">
      <c r="D522" s="64"/>
    </row>
    <row r="523">
      <c r="D523" s="64"/>
    </row>
    <row r="524">
      <c r="D524" s="64"/>
    </row>
    <row r="525">
      <c r="D525" s="64"/>
    </row>
    <row r="526">
      <c r="D526" s="64"/>
    </row>
    <row r="527">
      <c r="D527" s="64"/>
    </row>
    <row r="528">
      <c r="D528" s="64"/>
    </row>
    <row r="529">
      <c r="D529" s="64"/>
    </row>
    <row r="530">
      <c r="D530" s="64"/>
    </row>
    <row r="531">
      <c r="D531" s="64"/>
    </row>
    <row r="532">
      <c r="D532" s="64"/>
    </row>
    <row r="533">
      <c r="D533" s="64"/>
    </row>
    <row r="534">
      <c r="D534" s="64"/>
    </row>
    <row r="535">
      <c r="D535" s="64"/>
    </row>
    <row r="536">
      <c r="D536" s="64"/>
    </row>
    <row r="537">
      <c r="D537" s="64"/>
    </row>
    <row r="538">
      <c r="D538" s="64"/>
    </row>
    <row r="539">
      <c r="D539" s="64"/>
    </row>
    <row r="540">
      <c r="D540" s="64"/>
    </row>
    <row r="541">
      <c r="D541" s="64"/>
    </row>
    <row r="542">
      <c r="D542" s="64"/>
    </row>
    <row r="543">
      <c r="D543" s="64"/>
    </row>
    <row r="544">
      <c r="D544" s="64"/>
    </row>
    <row r="545">
      <c r="D545" s="64"/>
    </row>
    <row r="546">
      <c r="D546" s="64"/>
    </row>
    <row r="547">
      <c r="D547" s="64"/>
    </row>
    <row r="548">
      <c r="D548" s="64"/>
    </row>
    <row r="549">
      <c r="D549" s="64"/>
    </row>
    <row r="550">
      <c r="D550" s="64"/>
    </row>
    <row r="551">
      <c r="D551" s="64"/>
    </row>
    <row r="552">
      <c r="D552" s="64"/>
    </row>
    <row r="553">
      <c r="D553" s="64"/>
    </row>
    <row r="554">
      <c r="D554" s="64"/>
    </row>
    <row r="555">
      <c r="D555" s="64"/>
    </row>
    <row r="556">
      <c r="D556" s="64"/>
    </row>
    <row r="557">
      <c r="D557" s="64"/>
    </row>
    <row r="558">
      <c r="D558" s="64"/>
    </row>
    <row r="559">
      <c r="D559" s="64"/>
    </row>
    <row r="560">
      <c r="D560" s="64"/>
    </row>
    <row r="561">
      <c r="D561" s="64"/>
    </row>
    <row r="562">
      <c r="D562" s="64"/>
    </row>
    <row r="563">
      <c r="D563" s="64"/>
    </row>
    <row r="564">
      <c r="D564" s="64"/>
    </row>
    <row r="565">
      <c r="D565" s="64"/>
    </row>
    <row r="566">
      <c r="D566" s="64"/>
    </row>
    <row r="567">
      <c r="D567" s="64"/>
    </row>
    <row r="568">
      <c r="D568" s="64"/>
    </row>
    <row r="569">
      <c r="D569" s="64"/>
    </row>
    <row r="570">
      <c r="D570" s="64"/>
    </row>
    <row r="571">
      <c r="D571" s="64"/>
    </row>
    <row r="572">
      <c r="D572" s="64"/>
    </row>
    <row r="573">
      <c r="D573" s="64"/>
    </row>
    <row r="574">
      <c r="D574" s="64"/>
    </row>
    <row r="575">
      <c r="D575" s="64"/>
    </row>
    <row r="576">
      <c r="D576" s="64"/>
    </row>
    <row r="577">
      <c r="D577" s="64"/>
    </row>
    <row r="578">
      <c r="D578" s="64"/>
    </row>
    <row r="579">
      <c r="D579" s="64"/>
    </row>
    <row r="580">
      <c r="D580" s="64"/>
    </row>
    <row r="581">
      <c r="D581" s="64"/>
    </row>
    <row r="582">
      <c r="D582" s="64"/>
    </row>
    <row r="583">
      <c r="D583" s="64"/>
    </row>
    <row r="584">
      <c r="D584" s="64"/>
    </row>
    <row r="585">
      <c r="D585" s="64"/>
    </row>
    <row r="586">
      <c r="D586" s="64"/>
    </row>
    <row r="587">
      <c r="D587" s="64"/>
    </row>
    <row r="588">
      <c r="D588" s="64"/>
    </row>
    <row r="589">
      <c r="D589" s="64"/>
    </row>
    <row r="590">
      <c r="D590" s="64"/>
    </row>
    <row r="591">
      <c r="D591" s="64"/>
    </row>
    <row r="592">
      <c r="D592" s="64"/>
    </row>
    <row r="593">
      <c r="D593" s="64"/>
    </row>
    <row r="594">
      <c r="D594" s="64"/>
    </row>
    <row r="595">
      <c r="D595" s="64"/>
    </row>
    <row r="596">
      <c r="D596" s="64"/>
    </row>
    <row r="597">
      <c r="D597" s="64"/>
    </row>
    <row r="598">
      <c r="D598" s="64"/>
    </row>
    <row r="599">
      <c r="D599" s="64"/>
    </row>
    <row r="600">
      <c r="D600" s="64"/>
    </row>
    <row r="601">
      <c r="D601" s="64"/>
    </row>
    <row r="602">
      <c r="D602" s="64"/>
    </row>
    <row r="603">
      <c r="D603" s="64"/>
    </row>
    <row r="604">
      <c r="D604" s="64"/>
    </row>
    <row r="605">
      <c r="D605" s="64"/>
    </row>
    <row r="606">
      <c r="D606" s="64"/>
    </row>
    <row r="607">
      <c r="D607" s="64"/>
    </row>
    <row r="608">
      <c r="D608" s="64"/>
    </row>
    <row r="609">
      <c r="D609" s="64"/>
    </row>
    <row r="610">
      <c r="D610" s="64"/>
    </row>
    <row r="611">
      <c r="D611" s="64"/>
    </row>
    <row r="612">
      <c r="D612" s="64"/>
    </row>
    <row r="613">
      <c r="D613" s="64"/>
    </row>
    <row r="614">
      <c r="D614" s="64"/>
    </row>
    <row r="615">
      <c r="D615" s="64"/>
    </row>
    <row r="616">
      <c r="D616" s="64"/>
    </row>
    <row r="617">
      <c r="D617" s="64"/>
    </row>
    <row r="618">
      <c r="D618" s="64"/>
    </row>
    <row r="619">
      <c r="D619" s="64"/>
    </row>
    <row r="620">
      <c r="D620" s="64"/>
    </row>
    <row r="621">
      <c r="D621" s="64"/>
    </row>
    <row r="622">
      <c r="D622" s="64"/>
    </row>
    <row r="623">
      <c r="D623" s="64"/>
    </row>
    <row r="624">
      <c r="D624" s="64"/>
    </row>
    <row r="625">
      <c r="D625" s="64"/>
    </row>
    <row r="626">
      <c r="D626" s="64"/>
    </row>
    <row r="627">
      <c r="D627" s="64"/>
    </row>
    <row r="628">
      <c r="D628" s="64"/>
    </row>
    <row r="629">
      <c r="D629" s="64"/>
    </row>
    <row r="630">
      <c r="D630" s="64"/>
    </row>
    <row r="631">
      <c r="D631" s="64"/>
    </row>
    <row r="632">
      <c r="D632" s="64"/>
    </row>
    <row r="633">
      <c r="D633" s="64"/>
    </row>
    <row r="634">
      <c r="D634" s="64"/>
    </row>
    <row r="635">
      <c r="D635" s="64"/>
    </row>
    <row r="636">
      <c r="D636" s="64"/>
    </row>
    <row r="637">
      <c r="D637" s="64"/>
    </row>
    <row r="638">
      <c r="D638" s="64"/>
    </row>
    <row r="639">
      <c r="D639" s="64"/>
    </row>
    <row r="640">
      <c r="D640" s="64"/>
    </row>
    <row r="641">
      <c r="D641" s="64"/>
    </row>
    <row r="642">
      <c r="D642" s="64"/>
    </row>
    <row r="643">
      <c r="D643" s="64"/>
    </row>
    <row r="644">
      <c r="D644" s="64"/>
    </row>
    <row r="645">
      <c r="D645" s="64"/>
    </row>
    <row r="646">
      <c r="D646" s="64"/>
    </row>
    <row r="647">
      <c r="D647" s="64"/>
    </row>
    <row r="648">
      <c r="D648" s="64"/>
    </row>
    <row r="649">
      <c r="D649" s="64"/>
    </row>
    <row r="650">
      <c r="D650" s="64"/>
    </row>
    <row r="651">
      <c r="D651" s="64"/>
    </row>
    <row r="652">
      <c r="D652" s="64"/>
    </row>
    <row r="653">
      <c r="D653" s="64"/>
    </row>
    <row r="654">
      <c r="D654" s="64"/>
    </row>
    <row r="655">
      <c r="D655" s="64"/>
    </row>
    <row r="656">
      <c r="D656" s="64"/>
    </row>
    <row r="657">
      <c r="D657" s="64"/>
    </row>
    <row r="658">
      <c r="D658" s="64"/>
    </row>
    <row r="659">
      <c r="D659" s="64"/>
    </row>
    <row r="660">
      <c r="D660" s="64"/>
    </row>
    <row r="661">
      <c r="D661" s="64"/>
    </row>
    <row r="662">
      <c r="D662" s="64"/>
    </row>
    <row r="663">
      <c r="D663" s="64"/>
    </row>
    <row r="664">
      <c r="D664" s="64"/>
    </row>
    <row r="665">
      <c r="D665" s="64"/>
    </row>
    <row r="666">
      <c r="D666" s="64"/>
    </row>
    <row r="667">
      <c r="D667" s="64"/>
    </row>
    <row r="668">
      <c r="D668" s="64"/>
    </row>
    <row r="669">
      <c r="D669" s="64"/>
    </row>
    <row r="670">
      <c r="D670" s="64"/>
    </row>
    <row r="671">
      <c r="D671" s="64"/>
    </row>
    <row r="672">
      <c r="D672" s="64"/>
    </row>
    <row r="673">
      <c r="D673" s="64"/>
    </row>
    <row r="674">
      <c r="D674" s="64"/>
    </row>
    <row r="675">
      <c r="D675" s="64"/>
    </row>
    <row r="676">
      <c r="D676" s="64"/>
    </row>
    <row r="677">
      <c r="D677" s="64"/>
    </row>
    <row r="678">
      <c r="D678" s="64"/>
    </row>
    <row r="679">
      <c r="D679" s="64"/>
    </row>
    <row r="680">
      <c r="D680" s="64"/>
    </row>
    <row r="681">
      <c r="D681" s="64"/>
    </row>
    <row r="682">
      <c r="D682" s="64"/>
    </row>
    <row r="683">
      <c r="D683" s="64"/>
    </row>
    <row r="684">
      <c r="D684" s="64"/>
    </row>
    <row r="685">
      <c r="D685" s="64"/>
    </row>
    <row r="686">
      <c r="D686" s="64"/>
    </row>
    <row r="687">
      <c r="D687" s="64"/>
    </row>
    <row r="688">
      <c r="D688" s="64"/>
    </row>
    <row r="689">
      <c r="D689" s="64"/>
    </row>
    <row r="690">
      <c r="D690" s="64"/>
    </row>
    <row r="691">
      <c r="D691" s="64"/>
    </row>
    <row r="692">
      <c r="D692" s="64"/>
    </row>
    <row r="693">
      <c r="D693" s="64"/>
    </row>
    <row r="694">
      <c r="D694" s="64"/>
    </row>
    <row r="695">
      <c r="D695" s="64"/>
    </row>
    <row r="696">
      <c r="D696" s="64"/>
    </row>
    <row r="697">
      <c r="D697" s="64"/>
    </row>
    <row r="698">
      <c r="D698" s="64"/>
    </row>
    <row r="699">
      <c r="D699" s="64"/>
    </row>
    <row r="700">
      <c r="D700" s="64"/>
    </row>
    <row r="701">
      <c r="D701" s="64"/>
    </row>
    <row r="702">
      <c r="D702" s="64"/>
    </row>
    <row r="703">
      <c r="D703" s="64"/>
    </row>
    <row r="704">
      <c r="D704" s="64"/>
    </row>
    <row r="705">
      <c r="D705" s="64"/>
    </row>
    <row r="706">
      <c r="D706" s="64"/>
    </row>
    <row r="707">
      <c r="D707" s="64"/>
    </row>
    <row r="708">
      <c r="D708" s="64"/>
    </row>
    <row r="709">
      <c r="D709" s="64"/>
    </row>
    <row r="710">
      <c r="D710" s="64"/>
    </row>
    <row r="711">
      <c r="D711" s="64"/>
    </row>
    <row r="712">
      <c r="D712" s="64"/>
    </row>
    <row r="713">
      <c r="D713" s="64"/>
    </row>
    <row r="714">
      <c r="D714" s="64"/>
    </row>
    <row r="715">
      <c r="D715" s="64"/>
    </row>
    <row r="716">
      <c r="D716" s="64"/>
    </row>
    <row r="717">
      <c r="D717" s="64"/>
    </row>
    <row r="718">
      <c r="D718" s="64"/>
    </row>
    <row r="719">
      <c r="D719" s="64"/>
    </row>
    <row r="720">
      <c r="D720" s="64"/>
    </row>
    <row r="721">
      <c r="D721" s="64"/>
    </row>
    <row r="722">
      <c r="D722" s="64"/>
    </row>
    <row r="723">
      <c r="D723" s="64"/>
    </row>
    <row r="724">
      <c r="D724" s="64"/>
    </row>
    <row r="725">
      <c r="D725" s="64"/>
    </row>
    <row r="726">
      <c r="D726" s="64"/>
    </row>
    <row r="727">
      <c r="D727" s="64"/>
    </row>
    <row r="728">
      <c r="D728" s="64"/>
    </row>
    <row r="729">
      <c r="D729" s="64"/>
    </row>
    <row r="730">
      <c r="D730" s="64"/>
    </row>
    <row r="731">
      <c r="D731" s="64"/>
    </row>
    <row r="732">
      <c r="D732" s="64"/>
    </row>
    <row r="733">
      <c r="D733" s="64"/>
    </row>
    <row r="734">
      <c r="D734" s="64"/>
    </row>
    <row r="735">
      <c r="D735" s="64"/>
    </row>
    <row r="736">
      <c r="D736" s="64"/>
    </row>
    <row r="737">
      <c r="D737" s="64"/>
    </row>
    <row r="738">
      <c r="D738" s="64"/>
    </row>
    <row r="739">
      <c r="D739" s="64"/>
    </row>
    <row r="740">
      <c r="D740" s="64"/>
    </row>
    <row r="741">
      <c r="D741" s="64"/>
    </row>
    <row r="742">
      <c r="D742" s="64"/>
    </row>
    <row r="743">
      <c r="D743" s="64"/>
    </row>
    <row r="744">
      <c r="D744" s="64"/>
    </row>
    <row r="745">
      <c r="D745" s="64"/>
    </row>
    <row r="746">
      <c r="D746" s="64"/>
    </row>
    <row r="747">
      <c r="D747" s="64"/>
    </row>
    <row r="748">
      <c r="D748" s="64"/>
    </row>
    <row r="749">
      <c r="D749" s="64"/>
    </row>
    <row r="750">
      <c r="D750" s="64"/>
    </row>
    <row r="751">
      <c r="D751" s="64"/>
    </row>
    <row r="752">
      <c r="D752" s="64"/>
    </row>
    <row r="753">
      <c r="D753" s="64"/>
    </row>
    <row r="754">
      <c r="D754" s="64"/>
    </row>
    <row r="755">
      <c r="D755" s="64"/>
    </row>
    <row r="756">
      <c r="D756" s="64"/>
    </row>
    <row r="757">
      <c r="D757" s="64"/>
    </row>
    <row r="758">
      <c r="D758" s="64"/>
    </row>
    <row r="759">
      <c r="D759" s="64"/>
    </row>
    <row r="760">
      <c r="D760" s="64"/>
    </row>
    <row r="761">
      <c r="D761" s="64"/>
    </row>
    <row r="762">
      <c r="D762" s="64"/>
    </row>
    <row r="763">
      <c r="D763" s="64"/>
    </row>
    <row r="764">
      <c r="D764" s="64"/>
    </row>
    <row r="765">
      <c r="D765" s="64"/>
    </row>
    <row r="766">
      <c r="D766" s="64"/>
    </row>
    <row r="767">
      <c r="D767" s="64"/>
    </row>
    <row r="768">
      <c r="D768" s="64"/>
    </row>
    <row r="769">
      <c r="D769" s="64"/>
    </row>
    <row r="770">
      <c r="D770" s="64"/>
    </row>
    <row r="771">
      <c r="D771" s="64"/>
    </row>
    <row r="772">
      <c r="D772" s="64"/>
    </row>
    <row r="773">
      <c r="D773" s="64"/>
    </row>
    <row r="774">
      <c r="D774" s="64"/>
    </row>
    <row r="775">
      <c r="D775" s="64"/>
    </row>
    <row r="776">
      <c r="D776" s="64"/>
    </row>
    <row r="777">
      <c r="D777" s="64"/>
    </row>
    <row r="778">
      <c r="D778" s="64"/>
    </row>
    <row r="779">
      <c r="D779" s="64"/>
    </row>
    <row r="780">
      <c r="D780" s="64"/>
    </row>
    <row r="781">
      <c r="D781" s="64"/>
    </row>
    <row r="782">
      <c r="D782" s="64"/>
    </row>
    <row r="783">
      <c r="D783" s="64"/>
    </row>
    <row r="784">
      <c r="D784" s="64"/>
    </row>
    <row r="785">
      <c r="D785" s="64"/>
    </row>
    <row r="786">
      <c r="D786" s="64"/>
    </row>
    <row r="787">
      <c r="D787" s="64"/>
    </row>
    <row r="788">
      <c r="D788" s="64"/>
    </row>
    <row r="789">
      <c r="D789" s="64"/>
    </row>
    <row r="790">
      <c r="D790" s="64"/>
    </row>
    <row r="791">
      <c r="D791" s="64"/>
    </row>
    <row r="792">
      <c r="D792" s="64"/>
    </row>
    <row r="793">
      <c r="D793" s="64"/>
    </row>
    <row r="794">
      <c r="D794" s="64"/>
    </row>
    <row r="795">
      <c r="D795" s="64"/>
    </row>
    <row r="796">
      <c r="D796" s="64"/>
    </row>
    <row r="797">
      <c r="D797" s="64"/>
    </row>
    <row r="798">
      <c r="D798" s="64"/>
    </row>
    <row r="799">
      <c r="D799" s="64"/>
    </row>
    <row r="800">
      <c r="D800" s="64"/>
    </row>
    <row r="801">
      <c r="D801" s="64"/>
    </row>
    <row r="802">
      <c r="D802" s="64"/>
    </row>
    <row r="803">
      <c r="D803" s="64"/>
    </row>
    <row r="804">
      <c r="D804" s="64"/>
    </row>
    <row r="805">
      <c r="D805" s="64"/>
    </row>
    <row r="806">
      <c r="D806" s="64"/>
    </row>
    <row r="807">
      <c r="D807" s="64"/>
    </row>
    <row r="808">
      <c r="D808" s="64"/>
    </row>
    <row r="809">
      <c r="D809" s="64"/>
    </row>
    <row r="810">
      <c r="D810" s="64"/>
    </row>
    <row r="811">
      <c r="D811" s="64"/>
    </row>
    <row r="812">
      <c r="D812" s="64"/>
    </row>
    <row r="813">
      <c r="D813" s="64"/>
    </row>
    <row r="814">
      <c r="D814" s="64"/>
    </row>
    <row r="815">
      <c r="D815" s="64"/>
    </row>
    <row r="816">
      <c r="D816" s="64"/>
    </row>
    <row r="817">
      <c r="D817" s="64"/>
    </row>
    <row r="818">
      <c r="D818" s="64"/>
    </row>
    <row r="819">
      <c r="D819" s="64"/>
    </row>
    <row r="820">
      <c r="D820" s="64"/>
    </row>
    <row r="821">
      <c r="D821" s="64"/>
    </row>
    <row r="822">
      <c r="D822" s="64"/>
    </row>
    <row r="823">
      <c r="D823" s="64"/>
    </row>
    <row r="824">
      <c r="D824" s="64"/>
    </row>
    <row r="825">
      <c r="D825" s="64"/>
    </row>
    <row r="826">
      <c r="D826" s="64"/>
    </row>
    <row r="827">
      <c r="D827" s="64"/>
    </row>
    <row r="828">
      <c r="D828" s="64"/>
    </row>
    <row r="829">
      <c r="D829" s="64"/>
    </row>
    <row r="830">
      <c r="D830" s="64"/>
    </row>
    <row r="831">
      <c r="D831" s="64"/>
    </row>
    <row r="832">
      <c r="D832" s="64"/>
    </row>
    <row r="833">
      <c r="D833" s="64"/>
    </row>
    <row r="834">
      <c r="D834" s="64"/>
    </row>
    <row r="835">
      <c r="D835" s="64"/>
    </row>
    <row r="836">
      <c r="D836" s="64"/>
    </row>
    <row r="837">
      <c r="D837" s="64"/>
    </row>
    <row r="838">
      <c r="D838" s="64"/>
    </row>
    <row r="839">
      <c r="D839" s="64"/>
    </row>
    <row r="840">
      <c r="D840" s="64"/>
    </row>
    <row r="841">
      <c r="D841" s="64"/>
    </row>
    <row r="842">
      <c r="D842" s="64"/>
    </row>
    <row r="843">
      <c r="D843" s="64"/>
    </row>
    <row r="844">
      <c r="D844" s="64"/>
    </row>
    <row r="845">
      <c r="D845" s="64"/>
    </row>
    <row r="846">
      <c r="D846" s="64"/>
    </row>
    <row r="847">
      <c r="D847" s="64"/>
    </row>
    <row r="848">
      <c r="D848" s="64"/>
    </row>
    <row r="849">
      <c r="D849" s="64"/>
    </row>
    <row r="850">
      <c r="D850" s="64"/>
    </row>
    <row r="851">
      <c r="D851" s="64"/>
    </row>
    <row r="852">
      <c r="D852" s="64"/>
    </row>
    <row r="853">
      <c r="D853" s="64"/>
    </row>
    <row r="854">
      <c r="D854" s="64"/>
    </row>
    <row r="855">
      <c r="D855" s="64"/>
    </row>
    <row r="856">
      <c r="D856" s="64"/>
    </row>
    <row r="857">
      <c r="D857" s="64"/>
    </row>
    <row r="858">
      <c r="D858" s="64"/>
    </row>
    <row r="859">
      <c r="D859" s="64"/>
    </row>
    <row r="860">
      <c r="D860" s="64"/>
    </row>
    <row r="861">
      <c r="D861" s="64"/>
    </row>
    <row r="862">
      <c r="D862" s="64"/>
    </row>
    <row r="863">
      <c r="D863" s="64"/>
    </row>
    <row r="864">
      <c r="D864" s="64"/>
    </row>
    <row r="865">
      <c r="D865" s="64"/>
    </row>
    <row r="866">
      <c r="D866" s="64"/>
    </row>
    <row r="867">
      <c r="D867" s="64"/>
    </row>
    <row r="868">
      <c r="D868" s="64"/>
    </row>
    <row r="869">
      <c r="D869" s="64"/>
    </row>
    <row r="870">
      <c r="D870" s="64"/>
    </row>
    <row r="871">
      <c r="D871" s="64"/>
    </row>
    <row r="872">
      <c r="D872" s="64"/>
    </row>
    <row r="873">
      <c r="D873" s="64"/>
    </row>
    <row r="874">
      <c r="D874" s="64"/>
    </row>
    <row r="875">
      <c r="D875" s="64"/>
    </row>
    <row r="876">
      <c r="D876" s="64"/>
    </row>
    <row r="877">
      <c r="D877" s="64"/>
    </row>
    <row r="878">
      <c r="D878" s="64"/>
    </row>
    <row r="879">
      <c r="D879" s="64"/>
    </row>
    <row r="880">
      <c r="D880" s="64"/>
    </row>
    <row r="881">
      <c r="D881" s="64"/>
    </row>
    <row r="882">
      <c r="D882" s="64"/>
    </row>
    <row r="883">
      <c r="D883" s="64"/>
    </row>
    <row r="884">
      <c r="D884" s="64"/>
    </row>
    <row r="885">
      <c r="D885" s="64"/>
    </row>
    <row r="886">
      <c r="D886" s="64"/>
    </row>
    <row r="887">
      <c r="D887" s="64"/>
    </row>
    <row r="888">
      <c r="D888" s="64"/>
    </row>
    <row r="889">
      <c r="D889" s="64"/>
    </row>
    <row r="890">
      <c r="D890" s="64"/>
    </row>
    <row r="891">
      <c r="D891" s="64"/>
    </row>
    <row r="892">
      <c r="D892" s="64"/>
    </row>
    <row r="893">
      <c r="D893" s="64"/>
    </row>
    <row r="894">
      <c r="D894" s="64"/>
    </row>
    <row r="895">
      <c r="D895" s="64"/>
    </row>
    <row r="896">
      <c r="D896" s="64"/>
    </row>
    <row r="897">
      <c r="D897" s="64"/>
    </row>
    <row r="898">
      <c r="D898" s="64"/>
    </row>
    <row r="899">
      <c r="D899" s="64"/>
    </row>
    <row r="900">
      <c r="D900" s="64"/>
    </row>
    <row r="901">
      <c r="D901" s="64"/>
    </row>
    <row r="902">
      <c r="D902" s="64"/>
    </row>
    <row r="903">
      <c r="D903" s="64"/>
    </row>
    <row r="904">
      <c r="D904" s="64"/>
    </row>
    <row r="905">
      <c r="D905" s="64"/>
    </row>
    <row r="906">
      <c r="D906" s="64"/>
    </row>
    <row r="907">
      <c r="D907" s="64"/>
    </row>
    <row r="908">
      <c r="D908" s="64"/>
    </row>
    <row r="909">
      <c r="D909" s="64"/>
    </row>
    <row r="910">
      <c r="D910" s="64"/>
    </row>
    <row r="911">
      <c r="D911" s="64"/>
    </row>
    <row r="912">
      <c r="D912" s="64"/>
    </row>
    <row r="913">
      <c r="D913" s="64"/>
    </row>
    <row r="914">
      <c r="D914" s="64"/>
    </row>
    <row r="915">
      <c r="D915" s="64"/>
    </row>
    <row r="916">
      <c r="D916" s="64"/>
    </row>
    <row r="917">
      <c r="D917" s="64"/>
    </row>
    <row r="918">
      <c r="D918" s="64"/>
    </row>
    <row r="919">
      <c r="D919" s="64"/>
    </row>
    <row r="920">
      <c r="D920" s="64"/>
    </row>
    <row r="921">
      <c r="D921" s="64"/>
    </row>
    <row r="922">
      <c r="D922" s="64"/>
    </row>
    <row r="923">
      <c r="D923" s="64"/>
    </row>
    <row r="924">
      <c r="D924" s="64"/>
    </row>
    <row r="925">
      <c r="D925" s="64"/>
    </row>
    <row r="926">
      <c r="D926" s="64"/>
    </row>
    <row r="927">
      <c r="D927" s="64"/>
    </row>
    <row r="928">
      <c r="D928" s="64"/>
    </row>
    <row r="929">
      <c r="D929" s="64"/>
    </row>
    <row r="930">
      <c r="D930" s="64"/>
    </row>
    <row r="931">
      <c r="D931" s="64"/>
    </row>
    <row r="932">
      <c r="D932" s="64"/>
    </row>
    <row r="933">
      <c r="D933" s="64"/>
    </row>
    <row r="934">
      <c r="D934" s="64"/>
    </row>
    <row r="935">
      <c r="D935" s="64"/>
    </row>
    <row r="936">
      <c r="D936" s="64"/>
    </row>
    <row r="937">
      <c r="D937" s="64"/>
    </row>
    <row r="938">
      <c r="D938" s="64"/>
    </row>
    <row r="939">
      <c r="D939" s="64"/>
    </row>
    <row r="940">
      <c r="D940" s="64"/>
    </row>
    <row r="941">
      <c r="D941" s="64"/>
    </row>
    <row r="942">
      <c r="D942" s="64"/>
    </row>
    <row r="943">
      <c r="D943" s="64"/>
    </row>
    <row r="944">
      <c r="D944" s="64"/>
    </row>
    <row r="945">
      <c r="D945" s="64"/>
    </row>
    <row r="946">
      <c r="D946" s="64"/>
    </row>
    <row r="947">
      <c r="D947" s="64"/>
    </row>
    <row r="948">
      <c r="D948" s="64"/>
    </row>
    <row r="949">
      <c r="D949" s="64"/>
    </row>
    <row r="950">
      <c r="D950" s="64"/>
    </row>
    <row r="951">
      <c r="D951" s="64"/>
    </row>
    <row r="952">
      <c r="D952" s="64"/>
    </row>
    <row r="953">
      <c r="D953" s="64"/>
    </row>
    <row r="954">
      <c r="D954" s="64"/>
    </row>
    <row r="955">
      <c r="D955" s="64"/>
    </row>
    <row r="956">
      <c r="D956" s="64"/>
    </row>
    <row r="957">
      <c r="D957" s="64"/>
    </row>
    <row r="958">
      <c r="D958" s="64"/>
    </row>
    <row r="959">
      <c r="D959" s="64"/>
    </row>
    <row r="960">
      <c r="D960" s="64"/>
    </row>
    <row r="961">
      <c r="D961" s="64"/>
    </row>
    <row r="962">
      <c r="D962" s="64"/>
    </row>
    <row r="963">
      <c r="D963" s="64"/>
    </row>
    <row r="964">
      <c r="D964" s="64"/>
    </row>
    <row r="965">
      <c r="D965" s="64"/>
    </row>
    <row r="966">
      <c r="D966" s="64"/>
    </row>
    <row r="967">
      <c r="D967" s="64"/>
    </row>
    <row r="968">
      <c r="D968" s="64"/>
    </row>
    <row r="969">
      <c r="D969" s="64"/>
    </row>
    <row r="970">
      <c r="D970" s="64"/>
    </row>
    <row r="971">
      <c r="D971" s="64"/>
    </row>
    <row r="972">
      <c r="D972" s="64"/>
    </row>
    <row r="973">
      <c r="D973" s="64"/>
    </row>
    <row r="974">
      <c r="D974" s="64"/>
    </row>
    <row r="975">
      <c r="D975" s="64"/>
    </row>
    <row r="976">
      <c r="D976" s="64"/>
    </row>
    <row r="977">
      <c r="D977" s="64"/>
    </row>
    <row r="978">
      <c r="D978" s="64"/>
    </row>
    <row r="979">
      <c r="D979" s="64"/>
    </row>
    <row r="980">
      <c r="D980" s="64"/>
    </row>
    <row r="981">
      <c r="D981" s="64"/>
    </row>
    <row r="982">
      <c r="D982" s="64"/>
    </row>
    <row r="983">
      <c r="D983" s="64"/>
    </row>
    <row r="984">
      <c r="D984" s="64"/>
    </row>
    <row r="985">
      <c r="D985" s="64"/>
    </row>
    <row r="986">
      <c r="D986" s="64"/>
    </row>
    <row r="987">
      <c r="D987" s="64"/>
    </row>
    <row r="988">
      <c r="D988" s="64"/>
    </row>
    <row r="989">
      <c r="D989" s="64"/>
    </row>
    <row r="990">
      <c r="D990" s="64"/>
    </row>
    <row r="991">
      <c r="D991" s="64"/>
    </row>
    <row r="992">
      <c r="D992" s="64"/>
    </row>
    <row r="993">
      <c r="D993" s="64"/>
    </row>
    <row r="994">
      <c r="D994" s="64"/>
    </row>
    <row r="995">
      <c r="D995" s="64"/>
    </row>
    <row r="996">
      <c r="D996" s="64"/>
    </row>
    <row r="997">
      <c r="D997" s="64"/>
    </row>
    <row r="998">
      <c r="D998" s="64"/>
    </row>
  </sheetData>
  <mergeCells count="7">
    <mergeCell ref="A1:J1"/>
    <mergeCell ref="A10:D10"/>
    <mergeCell ref="A11:J11"/>
    <mergeCell ref="A28:D28"/>
    <mergeCell ref="A29:J29"/>
    <mergeCell ref="A32:D32"/>
    <mergeCell ref="A33:D33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31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9.75"/>
  </cols>
  <sheetData>
    <row r="1">
      <c r="A1" s="1" t="s">
        <v>0</v>
      </c>
    </row>
    <row r="2">
      <c r="A2" s="4" t="s">
        <v>1</v>
      </c>
      <c r="B2" s="6" t="s">
        <v>2</v>
      </c>
      <c r="C2" s="6" t="s">
        <v>3</v>
      </c>
      <c r="D2" s="9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>
      <c r="A3" s="12" t="s">
        <v>17</v>
      </c>
      <c r="B3" s="14">
        <v>101000.0</v>
      </c>
      <c r="C3" s="16" t="s">
        <v>13</v>
      </c>
      <c r="D3" s="18" t="s">
        <v>18</v>
      </c>
      <c r="E3" s="14">
        <v>54936.0</v>
      </c>
      <c r="F3" s="19">
        <v>1142.0</v>
      </c>
      <c r="G3" s="19">
        <v>36.0</v>
      </c>
      <c r="H3" s="19">
        <v>44.0</v>
      </c>
      <c r="I3" s="20">
        <f t="shared" ref="I3:I9" si="1">SUM(F3:H3)</f>
        <v>1222</v>
      </c>
      <c r="J3" s="22">
        <f t="shared" ref="J3:J10" si="2">I3/E3</f>
        <v>0.02224406582</v>
      </c>
    </row>
    <row r="4">
      <c r="A4" s="12" t="s">
        <v>20</v>
      </c>
      <c r="B4" s="14">
        <v>32000.0</v>
      </c>
      <c r="C4" s="16" t="s">
        <v>13</v>
      </c>
      <c r="D4" s="18" t="s">
        <v>22</v>
      </c>
      <c r="E4" s="14">
        <v>42174.0</v>
      </c>
      <c r="F4" s="14">
        <v>901.0</v>
      </c>
      <c r="G4" s="14">
        <v>28.0</v>
      </c>
      <c r="H4" s="14">
        <v>69.0</v>
      </c>
      <c r="I4" s="20">
        <f t="shared" si="1"/>
        <v>998</v>
      </c>
      <c r="J4" s="22">
        <f t="shared" si="2"/>
        <v>0.02366386873</v>
      </c>
    </row>
    <row r="5">
      <c r="A5" s="12" t="s">
        <v>25</v>
      </c>
      <c r="B5" s="14">
        <v>29000.0</v>
      </c>
      <c r="C5" s="12" t="s">
        <v>14</v>
      </c>
      <c r="D5" s="18" t="s">
        <v>26</v>
      </c>
      <c r="E5" s="14">
        <v>18927.0</v>
      </c>
      <c r="F5" s="14">
        <v>243.0</v>
      </c>
      <c r="G5" s="14">
        <v>6.0</v>
      </c>
      <c r="H5" s="14">
        <v>16.0</v>
      </c>
      <c r="I5" s="20">
        <f t="shared" si="1"/>
        <v>265</v>
      </c>
      <c r="J5" s="22">
        <f t="shared" si="2"/>
        <v>0.01400116236</v>
      </c>
    </row>
    <row r="6">
      <c r="A6" s="12" t="s">
        <v>30</v>
      </c>
      <c r="B6" s="14">
        <v>10000.0</v>
      </c>
      <c r="C6" s="16" t="s">
        <v>13</v>
      </c>
      <c r="D6" s="18" t="s">
        <v>32</v>
      </c>
      <c r="E6" s="14">
        <v>8972.0</v>
      </c>
      <c r="F6" s="14">
        <v>117.0</v>
      </c>
      <c r="G6" s="14">
        <v>14.0</v>
      </c>
      <c r="H6" s="14">
        <v>2.0</v>
      </c>
      <c r="I6" s="20">
        <f t="shared" si="1"/>
        <v>133</v>
      </c>
      <c r="J6" s="22">
        <f t="shared" si="2"/>
        <v>0.01482389657</v>
      </c>
    </row>
    <row r="7">
      <c r="A7" s="12" t="s">
        <v>38</v>
      </c>
      <c r="B7" s="14">
        <v>6228.0</v>
      </c>
      <c r="C7" s="12" t="s">
        <v>14</v>
      </c>
      <c r="D7" s="18" t="s">
        <v>39</v>
      </c>
      <c r="E7" s="14">
        <v>9738.0</v>
      </c>
      <c r="F7" s="14">
        <v>113.0</v>
      </c>
      <c r="G7" s="14">
        <v>14.0</v>
      </c>
      <c r="H7" s="14">
        <v>8.0</v>
      </c>
      <c r="I7" s="20">
        <f t="shared" si="1"/>
        <v>135</v>
      </c>
      <c r="J7" s="22">
        <f t="shared" si="2"/>
        <v>0.01386321627</v>
      </c>
    </row>
    <row r="8">
      <c r="A8" s="12" t="s">
        <v>44</v>
      </c>
      <c r="B8" s="14">
        <v>1252.0</v>
      </c>
      <c r="C8" s="12" t="s">
        <v>14</v>
      </c>
      <c r="D8" s="18" t="s">
        <v>46</v>
      </c>
      <c r="E8" s="14">
        <v>21151.0</v>
      </c>
      <c r="F8" s="14">
        <v>200.0</v>
      </c>
      <c r="G8" s="14">
        <v>20.0</v>
      </c>
      <c r="H8" s="14">
        <v>35.0</v>
      </c>
      <c r="I8" s="20">
        <f t="shared" si="1"/>
        <v>255</v>
      </c>
      <c r="J8" s="22">
        <f t="shared" si="2"/>
        <v>0.01205616756</v>
      </c>
    </row>
    <row r="9">
      <c r="A9" s="12" t="s">
        <v>51</v>
      </c>
      <c r="B9" s="14">
        <v>2208.0</v>
      </c>
      <c r="C9" s="12" t="s">
        <v>14</v>
      </c>
      <c r="D9" s="18" t="s">
        <v>53</v>
      </c>
      <c r="E9" s="14">
        <v>2849.0</v>
      </c>
      <c r="F9" s="14">
        <v>68.0</v>
      </c>
      <c r="G9" s="14">
        <v>9.0</v>
      </c>
      <c r="H9" s="14">
        <v>15.0</v>
      </c>
      <c r="I9" s="20">
        <f t="shared" si="1"/>
        <v>92</v>
      </c>
      <c r="J9" s="22">
        <f t="shared" si="2"/>
        <v>0.03229203229</v>
      </c>
    </row>
    <row r="10">
      <c r="A10" s="41" t="s">
        <v>19</v>
      </c>
      <c r="B10" s="24"/>
      <c r="C10" s="3"/>
      <c r="D10" s="25"/>
      <c r="E10" s="42">
        <f t="shared" ref="E10:I10" si="3">SUM(E3:E9)</f>
        <v>158747</v>
      </c>
      <c r="F10" s="44">
        <f t="shared" si="3"/>
        <v>2784</v>
      </c>
      <c r="G10" s="44">
        <f t="shared" si="3"/>
        <v>127</v>
      </c>
      <c r="H10" s="44">
        <f t="shared" si="3"/>
        <v>189</v>
      </c>
      <c r="I10" s="44">
        <f t="shared" si="3"/>
        <v>3100</v>
      </c>
      <c r="J10" s="22">
        <f t="shared" si="2"/>
        <v>0.01952792809</v>
      </c>
    </row>
    <row r="11">
      <c r="A11" s="1" t="s">
        <v>55</v>
      </c>
    </row>
    <row r="12">
      <c r="A12" s="4" t="s">
        <v>1</v>
      </c>
      <c r="B12" s="4" t="s">
        <v>58</v>
      </c>
      <c r="C12" s="6" t="s">
        <v>3</v>
      </c>
      <c r="D12" s="9" t="s">
        <v>4</v>
      </c>
      <c r="E12" s="6" t="s">
        <v>5</v>
      </c>
      <c r="F12" s="6" t="s">
        <v>6</v>
      </c>
      <c r="G12" s="6" t="s">
        <v>7</v>
      </c>
      <c r="H12" s="6" t="s">
        <v>8</v>
      </c>
      <c r="I12" s="6" t="s">
        <v>9</v>
      </c>
      <c r="J12" s="6" t="s">
        <v>10</v>
      </c>
    </row>
    <row r="13">
      <c r="A13" s="12" t="s">
        <v>59</v>
      </c>
      <c r="B13" s="14">
        <v>50000.0</v>
      </c>
      <c r="C13" s="16" t="s">
        <v>13</v>
      </c>
      <c r="D13" s="51" t="s">
        <v>60</v>
      </c>
      <c r="E13" s="53">
        <v>6270.0</v>
      </c>
      <c r="F13" s="14">
        <v>391.0</v>
      </c>
      <c r="G13" s="16">
        <v>58.0</v>
      </c>
      <c r="H13" s="16">
        <v>3.0</v>
      </c>
      <c r="I13" s="20">
        <f t="shared" ref="I13:I17" si="4">SUM(F13:H13)</f>
        <v>452</v>
      </c>
      <c r="J13" s="22">
        <f t="shared" ref="J13:J19" si="5">I13/E13</f>
        <v>0.07208931419</v>
      </c>
    </row>
    <row r="14">
      <c r="A14" s="12" t="s">
        <v>69</v>
      </c>
      <c r="B14" s="14">
        <v>11000.0</v>
      </c>
      <c r="C14" s="16" t="s">
        <v>13</v>
      </c>
      <c r="D14" s="58" t="s">
        <v>70</v>
      </c>
      <c r="E14" s="59">
        <v>7722.0</v>
      </c>
      <c r="F14" s="14">
        <v>433.0</v>
      </c>
      <c r="G14" s="16">
        <v>143.0</v>
      </c>
      <c r="H14" s="16">
        <v>46.0</v>
      </c>
      <c r="I14" s="20">
        <f t="shared" si="4"/>
        <v>622</v>
      </c>
      <c r="J14" s="22">
        <f t="shared" si="5"/>
        <v>0.08054908055</v>
      </c>
    </row>
    <row r="15">
      <c r="A15" s="12" t="s">
        <v>74</v>
      </c>
      <c r="B15" s="14">
        <v>15000.0</v>
      </c>
      <c r="C15" s="12" t="s">
        <v>14</v>
      </c>
      <c r="D15" s="51" t="s">
        <v>75</v>
      </c>
      <c r="E15" s="53">
        <v>7966.0</v>
      </c>
      <c r="F15" s="14">
        <v>111.0</v>
      </c>
      <c r="G15" s="16">
        <v>17.0</v>
      </c>
      <c r="H15" s="16">
        <v>5.0</v>
      </c>
      <c r="I15" s="20">
        <f t="shared" si="4"/>
        <v>133</v>
      </c>
      <c r="J15" s="22">
        <f t="shared" si="5"/>
        <v>0.01669595782</v>
      </c>
    </row>
    <row r="16">
      <c r="A16" s="12" t="s">
        <v>80</v>
      </c>
      <c r="B16" s="14">
        <v>30000.0</v>
      </c>
      <c r="C16" s="12" t="s">
        <v>14</v>
      </c>
      <c r="D16" s="58" t="s">
        <v>82</v>
      </c>
      <c r="E16" s="59">
        <v>2498.0</v>
      </c>
      <c r="F16" s="14">
        <v>209.0</v>
      </c>
      <c r="G16" s="16">
        <v>27.0</v>
      </c>
      <c r="H16" s="16">
        <v>7.0</v>
      </c>
      <c r="I16" s="20">
        <f t="shared" si="4"/>
        <v>243</v>
      </c>
      <c r="J16" s="22">
        <f t="shared" si="5"/>
        <v>0.09727782226</v>
      </c>
    </row>
    <row r="17">
      <c r="A17" s="12" t="s">
        <v>84</v>
      </c>
      <c r="B17" s="14">
        <v>42000.0</v>
      </c>
      <c r="C17" s="16" t="s">
        <v>13</v>
      </c>
      <c r="D17" s="51" t="s">
        <v>85</v>
      </c>
      <c r="E17" s="53">
        <v>5072.0</v>
      </c>
      <c r="F17" s="14">
        <v>111.0</v>
      </c>
      <c r="G17" s="16">
        <v>72.0</v>
      </c>
      <c r="H17" s="16">
        <v>2.0</v>
      </c>
      <c r="I17" s="20">
        <f t="shared" si="4"/>
        <v>185</v>
      </c>
      <c r="J17" s="22">
        <f t="shared" si="5"/>
        <v>0.03647476341</v>
      </c>
    </row>
    <row r="18">
      <c r="A18" s="41" t="s">
        <v>19</v>
      </c>
      <c r="B18" s="24"/>
      <c r="C18" s="3"/>
      <c r="D18" s="25"/>
      <c r="E18" s="14">
        <f t="shared" ref="E18:I18" si="6">SUM(E13:E17)</f>
        <v>29528</v>
      </c>
      <c r="F18" s="14">
        <f t="shared" si="6"/>
        <v>1255</v>
      </c>
      <c r="G18" s="60">
        <f t="shared" si="6"/>
        <v>317</v>
      </c>
      <c r="H18" s="60">
        <f t="shared" si="6"/>
        <v>63</v>
      </c>
      <c r="I18" s="60">
        <f t="shared" si="6"/>
        <v>1635</v>
      </c>
      <c r="J18" s="22">
        <f t="shared" si="5"/>
        <v>0.05537117312</v>
      </c>
    </row>
    <row r="19">
      <c r="A19" s="61" t="s">
        <v>54</v>
      </c>
      <c r="B19" s="45"/>
      <c r="C19" s="3"/>
      <c r="D19" s="25"/>
      <c r="E19" s="62">
        <f t="shared" ref="E19:I19" si="7">E10+E18+E34</f>
        <v>207135</v>
      </c>
      <c r="F19" s="62">
        <f t="shared" si="7"/>
        <v>4961</v>
      </c>
      <c r="G19" s="62">
        <f t="shared" si="7"/>
        <v>556</v>
      </c>
      <c r="H19" s="62">
        <f t="shared" si="7"/>
        <v>313</v>
      </c>
      <c r="I19" s="62">
        <f t="shared" si="7"/>
        <v>5830</v>
      </c>
      <c r="J19" s="63">
        <f t="shared" si="5"/>
        <v>0.02814589519</v>
      </c>
    </row>
    <row r="20">
      <c r="D20" s="64"/>
    </row>
    <row r="21">
      <c r="A21" s="1" t="s">
        <v>94</v>
      </c>
    </row>
    <row r="22">
      <c r="A22" s="4" t="s">
        <v>95</v>
      </c>
      <c r="B22" s="4" t="s">
        <v>58</v>
      </c>
      <c r="C22" s="6" t="s">
        <v>3</v>
      </c>
      <c r="D22" s="9" t="s">
        <v>4</v>
      </c>
      <c r="E22" s="6" t="s">
        <v>5</v>
      </c>
      <c r="F22" s="6" t="s">
        <v>6</v>
      </c>
      <c r="G22" s="6" t="s">
        <v>7</v>
      </c>
      <c r="H22" s="6" t="s">
        <v>8</v>
      </c>
      <c r="I22" s="6" t="s">
        <v>9</v>
      </c>
      <c r="J22" s="6" t="s">
        <v>10</v>
      </c>
    </row>
    <row r="23">
      <c r="A23" s="12" t="s">
        <v>96</v>
      </c>
      <c r="B23" s="18" t="s">
        <v>97</v>
      </c>
      <c r="C23" s="16" t="s">
        <v>13</v>
      </c>
      <c r="D23" s="18" t="s">
        <v>99</v>
      </c>
      <c r="E23" s="16">
        <v>458.0</v>
      </c>
      <c r="F23" s="16">
        <v>19.0</v>
      </c>
      <c r="G23" s="16">
        <v>6.0</v>
      </c>
      <c r="H23" s="16">
        <v>3.0</v>
      </c>
      <c r="I23" s="20">
        <f t="shared" ref="I23:I33" si="8">SUM(F23:H23)</f>
        <v>28</v>
      </c>
      <c r="J23" s="22">
        <f t="shared" ref="J23:J34" si="9">I23/E23</f>
        <v>0.06113537118</v>
      </c>
      <c r="L23" s="73"/>
      <c r="N23" s="73"/>
    </row>
    <row r="24">
      <c r="A24" s="12" t="s">
        <v>103</v>
      </c>
      <c r="B24" s="18" t="s">
        <v>105</v>
      </c>
      <c r="C24" s="16" t="s">
        <v>13</v>
      </c>
      <c r="D24" s="18" t="s">
        <v>107</v>
      </c>
      <c r="E24" s="75">
        <v>7361.0</v>
      </c>
      <c r="F24" s="75">
        <v>35.0</v>
      </c>
      <c r="G24" s="75">
        <v>6.0</v>
      </c>
      <c r="H24" s="75">
        <v>6.0</v>
      </c>
      <c r="I24" s="20">
        <f t="shared" si="8"/>
        <v>47</v>
      </c>
      <c r="J24" s="22">
        <f t="shared" si="9"/>
        <v>0.006385002038</v>
      </c>
      <c r="L24" s="73"/>
      <c r="N24" s="73"/>
    </row>
    <row r="25">
      <c r="A25" s="12" t="s">
        <v>111</v>
      </c>
      <c r="B25" s="18" t="s">
        <v>112</v>
      </c>
      <c r="C25" s="16" t="s">
        <v>13</v>
      </c>
      <c r="D25" s="18" t="s">
        <v>116</v>
      </c>
      <c r="E25" s="75">
        <v>3382.0</v>
      </c>
      <c r="F25" s="75">
        <v>233.0</v>
      </c>
      <c r="G25" s="75">
        <v>32.0</v>
      </c>
      <c r="H25" s="75">
        <v>9.0</v>
      </c>
      <c r="I25" s="20">
        <f t="shared" si="8"/>
        <v>274</v>
      </c>
      <c r="J25" s="22">
        <f t="shared" si="9"/>
        <v>0.08101714962</v>
      </c>
      <c r="L25" s="73"/>
      <c r="N25" s="73"/>
    </row>
    <row r="26">
      <c r="A26" s="12" t="s">
        <v>118</v>
      </c>
      <c r="B26" s="18" t="s">
        <v>120</v>
      </c>
      <c r="C26" s="16" t="s">
        <v>13</v>
      </c>
      <c r="D26" s="18" t="s">
        <v>123</v>
      </c>
      <c r="E26" s="75">
        <v>194.0</v>
      </c>
      <c r="F26" s="75">
        <v>4.0</v>
      </c>
      <c r="G26" s="75">
        <v>0.0</v>
      </c>
      <c r="H26" s="75">
        <v>3.0</v>
      </c>
      <c r="I26" s="20">
        <f t="shared" si="8"/>
        <v>7</v>
      </c>
      <c r="J26" s="22">
        <f t="shared" si="9"/>
        <v>0.03608247423</v>
      </c>
      <c r="L26" s="73"/>
      <c r="N26" s="73"/>
    </row>
    <row r="27">
      <c r="A27" s="77" t="s">
        <v>126</v>
      </c>
      <c r="B27" s="78" t="s">
        <v>127</v>
      </c>
      <c r="C27" s="12" t="s">
        <v>14</v>
      </c>
      <c r="D27" s="18" t="s">
        <v>132</v>
      </c>
      <c r="E27" s="75">
        <v>3204.0</v>
      </c>
      <c r="F27" s="75">
        <v>425.0</v>
      </c>
      <c r="G27" s="75">
        <v>40.0</v>
      </c>
      <c r="H27" s="75">
        <v>13.0</v>
      </c>
      <c r="I27" s="20">
        <f t="shared" si="8"/>
        <v>478</v>
      </c>
      <c r="J27" s="22">
        <f t="shared" si="9"/>
        <v>0.1491885144</v>
      </c>
      <c r="L27" s="73"/>
      <c r="N27" s="73"/>
    </row>
    <row r="28">
      <c r="A28" s="79"/>
      <c r="B28" s="79"/>
      <c r="C28" s="16" t="s">
        <v>13</v>
      </c>
      <c r="D28" s="18" t="s">
        <v>135</v>
      </c>
      <c r="E28" s="75">
        <v>1227.0</v>
      </c>
      <c r="F28" s="75">
        <v>72.0</v>
      </c>
      <c r="G28" s="75">
        <v>9.0</v>
      </c>
      <c r="H28" s="75">
        <v>10.0</v>
      </c>
      <c r="I28" s="20">
        <f t="shared" si="8"/>
        <v>91</v>
      </c>
      <c r="J28" s="22">
        <f t="shared" si="9"/>
        <v>0.07416462918</v>
      </c>
      <c r="N28" s="73"/>
    </row>
    <row r="29">
      <c r="A29" s="80" t="s">
        <v>138</v>
      </c>
      <c r="B29" s="18" t="s">
        <v>141</v>
      </c>
      <c r="C29" s="16" t="s">
        <v>13</v>
      </c>
      <c r="D29" s="18" t="s">
        <v>143</v>
      </c>
      <c r="E29" s="75">
        <v>68.0</v>
      </c>
      <c r="F29" s="75">
        <v>7.0</v>
      </c>
      <c r="G29" s="75">
        <v>1.0</v>
      </c>
      <c r="H29" s="75">
        <v>0.0</v>
      </c>
      <c r="I29" s="20">
        <f t="shared" si="8"/>
        <v>8</v>
      </c>
      <c r="J29" s="22">
        <f t="shared" si="9"/>
        <v>0.1176470588</v>
      </c>
      <c r="L29" s="73"/>
      <c r="N29" s="73"/>
    </row>
    <row r="30">
      <c r="A30" s="80" t="s">
        <v>146</v>
      </c>
      <c r="B30" s="18" t="s">
        <v>147</v>
      </c>
      <c r="C30" s="16" t="s">
        <v>13</v>
      </c>
      <c r="D30" s="18" t="s">
        <v>148</v>
      </c>
      <c r="E30" s="75">
        <v>38.0</v>
      </c>
      <c r="F30" s="75">
        <v>1.0</v>
      </c>
      <c r="G30" s="75">
        <v>0.0</v>
      </c>
      <c r="H30" s="75">
        <v>0.0</v>
      </c>
      <c r="I30" s="20">
        <f t="shared" si="8"/>
        <v>1</v>
      </c>
      <c r="J30" s="22">
        <f t="shared" si="9"/>
        <v>0.02631578947</v>
      </c>
      <c r="L30" s="73"/>
      <c r="N30" s="73"/>
    </row>
    <row r="31">
      <c r="A31" s="12" t="s">
        <v>149</v>
      </c>
      <c r="B31" s="18" t="s">
        <v>150</v>
      </c>
      <c r="C31" s="16" t="s">
        <v>13</v>
      </c>
      <c r="D31" s="18" t="s">
        <v>151</v>
      </c>
      <c r="E31" s="75">
        <v>196.0</v>
      </c>
      <c r="F31" s="75">
        <v>6.0</v>
      </c>
      <c r="G31" s="75">
        <v>2.0</v>
      </c>
      <c r="H31" s="75">
        <v>0.0</v>
      </c>
      <c r="I31" s="20">
        <f t="shared" si="8"/>
        <v>8</v>
      </c>
      <c r="J31" s="22">
        <f t="shared" si="9"/>
        <v>0.04081632653</v>
      </c>
      <c r="L31" s="73"/>
      <c r="N31" s="73"/>
    </row>
    <row r="32">
      <c r="A32" s="77" t="s">
        <v>155</v>
      </c>
      <c r="B32" s="78" t="s">
        <v>157</v>
      </c>
      <c r="C32" s="12" t="s">
        <v>14</v>
      </c>
      <c r="D32" s="18" t="s">
        <v>160</v>
      </c>
      <c r="E32" s="75">
        <v>1691.0</v>
      </c>
      <c r="F32" s="75">
        <v>85.0</v>
      </c>
      <c r="G32" s="75">
        <v>13.0</v>
      </c>
      <c r="H32" s="75">
        <v>8.0</v>
      </c>
      <c r="I32" s="20">
        <f t="shared" si="8"/>
        <v>106</v>
      </c>
      <c r="J32" s="22">
        <f t="shared" si="9"/>
        <v>0.06268480189</v>
      </c>
      <c r="L32" s="73"/>
      <c r="N32" s="73"/>
    </row>
    <row r="33">
      <c r="A33" s="79"/>
      <c r="B33" s="79"/>
      <c r="C33" s="16" t="s">
        <v>13</v>
      </c>
      <c r="D33" s="18" t="s">
        <v>165</v>
      </c>
      <c r="E33" s="75">
        <v>1041.0</v>
      </c>
      <c r="F33" s="75">
        <v>35.0</v>
      </c>
      <c r="G33" s="75">
        <v>3.0</v>
      </c>
      <c r="H33" s="75">
        <v>9.0</v>
      </c>
      <c r="I33" s="20">
        <f t="shared" si="8"/>
        <v>47</v>
      </c>
      <c r="J33" s="22">
        <f t="shared" si="9"/>
        <v>0.04514889529</v>
      </c>
      <c r="N33" s="73"/>
    </row>
    <row r="34">
      <c r="A34" s="41" t="s">
        <v>19</v>
      </c>
      <c r="B34" s="3"/>
      <c r="C34" s="3"/>
      <c r="D34" s="5"/>
      <c r="E34" s="60">
        <f t="shared" ref="E34:I34" si="10">SUM(E23:E33)</f>
        <v>18860</v>
      </c>
      <c r="F34" s="60">
        <f t="shared" si="10"/>
        <v>922</v>
      </c>
      <c r="G34" s="60">
        <f t="shared" si="10"/>
        <v>112</v>
      </c>
      <c r="H34" s="60">
        <f t="shared" si="10"/>
        <v>61</v>
      </c>
      <c r="I34" s="60">
        <f t="shared" si="10"/>
        <v>1095</v>
      </c>
      <c r="J34" s="22">
        <f t="shared" si="9"/>
        <v>0.05805938494</v>
      </c>
    </row>
    <row r="35">
      <c r="D35" s="64"/>
    </row>
    <row r="36">
      <c r="D36" s="64"/>
    </row>
    <row r="37">
      <c r="D37" s="64"/>
    </row>
    <row r="38">
      <c r="D38" s="64"/>
    </row>
    <row r="39">
      <c r="D39" s="64"/>
    </row>
    <row r="40">
      <c r="D40" s="64"/>
    </row>
    <row r="41">
      <c r="D41" s="64"/>
    </row>
    <row r="42">
      <c r="D42" s="64"/>
    </row>
    <row r="43">
      <c r="D43" s="64"/>
    </row>
    <row r="44">
      <c r="D44" s="64"/>
    </row>
    <row r="45">
      <c r="D45" s="64"/>
    </row>
    <row r="46">
      <c r="D46" s="64"/>
    </row>
    <row r="47">
      <c r="D47" s="64"/>
    </row>
    <row r="48">
      <c r="D48" s="64"/>
    </row>
    <row r="49">
      <c r="D49" s="64"/>
    </row>
    <row r="50">
      <c r="D50" s="64"/>
    </row>
    <row r="51">
      <c r="D51" s="64"/>
    </row>
    <row r="52">
      <c r="D52" s="64"/>
    </row>
    <row r="53">
      <c r="D53" s="64"/>
    </row>
    <row r="54">
      <c r="D54" s="64"/>
    </row>
    <row r="55">
      <c r="D55" s="64"/>
    </row>
    <row r="56">
      <c r="D56" s="64"/>
    </row>
    <row r="57">
      <c r="D57" s="64"/>
    </row>
    <row r="58">
      <c r="D58" s="64"/>
    </row>
    <row r="59">
      <c r="D59" s="64"/>
    </row>
    <row r="60">
      <c r="D60" s="64"/>
    </row>
    <row r="61">
      <c r="D61" s="64"/>
    </row>
    <row r="62">
      <c r="D62" s="64"/>
    </row>
    <row r="63">
      <c r="D63" s="64"/>
    </row>
    <row r="64">
      <c r="D64" s="64"/>
    </row>
    <row r="65">
      <c r="D65" s="64"/>
    </row>
    <row r="66">
      <c r="D66" s="64"/>
    </row>
    <row r="67">
      <c r="D67" s="64"/>
    </row>
    <row r="68">
      <c r="D68" s="64"/>
    </row>
    <row r="69">
      <c r="D69" s="64"/>
    </row>
    <row r="70">
      <c r="D70" s="64"/>
    </row>
    <row r="71">
      <c r="D71" s="64"/>
    </row>
    <row r="72">
      <c r="D72" s="64"/>
    </row>
    <row r="73">
      <c r="D73" s="64"/>
    </row>
    <row r="74">
      <c r="D74" s="64"/>
    </row>
    <row r="75">
      <c r="D75" s="64"/>
    </row>
    <row r="76">
      <c r="D76" s="64"/>
    </row>
    <row r="77">
      <c r="D77" s="64"/>
    </row>
    <row r="78">
      <c r="D78" s="64"/>
    </row>
    <row r="79">
      <c r="D79" s="64"/>
    </row>
    <row r="80">
      <c r="D80" s="64"/>
    </row>
    <row r="81">
      <c r="D81" s="64"/>
    </row>
    <row r="82">
      <c r="D82" s="64"/>
    </row>
    <row r="83">
      <c r="D83" s="64"/>
    </row>
    <row r="84">
      <c r="D84" s="64"/>
    </row>
    <row r="85">
      <c r="D85" s="64"/>
    </row>
    <row r="86">
      <c r="D86" s="64"/>
    </row>
    <row r="87">
      <c r="D87" s="64"/>
    </row>
    <row r="88">
      <c r="D88" s="64"/>
    </row>
    <row r="89">
      <c r="D89" s="64"/>
    </row>
    <row r="90">
      <c r="D90" s="64"/>
    </row>
    <row r="91">
      <c r="D91" s="64"/>
    </row>
    <row r="92">
      <c r="D92" s="64"/>
    </row>
    <row r="93">
      <c r="D93" s="64"/>
    </row>
    <row r="94">
      <c r="D94" s="64"/>
    </row>
    <row r="95">
      <c r="D95" s="64"/>
    </row>
    <row r="96">
      <c r="D96" s="64"/>
    </row>
    <row r="97">
      <c r="D97" s="64"/>
    </row>
    <row r="98">
      <c r="D98" s="64"/>
    </row>
    <row r="99">
      <c r="D99" s="64"/>
    </row>
    <row r="100">
      <c r="D100" s="64"/>
    </row>
    <row r="101">
      <c r="D101" s="64"/>
    </row>
    <row r="102">
      <c r="D102" s="64"/>
    </row>
    <row r="103">
      <c r="D103" s="64"/>
    </row>
    <row r="104">
      <c r="D104" s="64"/>
    </row>
    <row r="105">
      <c r="D105" s="64"/>
    </row>
    <row r="106">
      <c r="D106" s="64"/>
    </row>
    <row r="107">
      <c r="D107" s="64"/>
    </row>
    <row r="108">
      <c r="D108" s="64"/>
    </row>
    <row r="109">
      <c r="D109" s="64"/>
    </row>
    <row r="110">
      <c r="D110" s="64"/>
    </row>
    <row r="111">
      <c r="D111" s="64"/>
    </row>
    <row r="112">
      <c r="D112" s="64"/>
    </row>
    <row r="113">
      <c r="D113" s="64"/>
    </row>
    <row r="114">
      <c r="D114" s="64"/>
    </row>
    <row r="115">
      <c r="D115" s="64"/>
    </row>
    <row r="116">
      <c r="D116" s="64"/>
    </row>
    <row r="117">
      <c r="D117" s="64"/>
    </row>
    <row r="118">
      <c r="D118" s="64"/>
    </row>
    <row r="119">
      <c r="D119" s="64"/>
    </row>
    <row r="120">
      <c r="D120" s="64"/>
    </row>
    <row r="121">
      <c r="D121" s="64"/>
    </row>
    <row r="122">
      <c r="D122" s="64"/>
    </row>
    <row r="123">
      <c r="D123" s="64"/>
    </row>
    <row r="124">
      <c r="D124" s="64"/>
    </row>
    <row r="125">
      <c r="D125" s="64"/>
    </row>
    <row r="126">
      <c r="D126" s="64"/>
    </row>
    <row r="127">
      <c r="D127" s="64"/>
    </row>
    <row r="128">
      <c r="D128" s="64"/>
    </row>
    <row r="129">
      <c r="D129" s="64"/>
    </row>
    <row r="130">
      <c r="D130" s="64"/>
    </row>
    <row r="131">
      <c r="D131" s="64"/>
    </row>
    <row r="132">
      <c r="D132" s="64"/>
    </row>
    <row r="133">
      <c r="D133" s="64"/>
    </row>
    <row r="134">
      <c r="D134" s="64"/>
    </row>
    <row r="135">
      <c r="D135" s="64"/>
    </row>
    <row r="136">
      <c r="D136" s="64"/>
    </row>
    <row r="137">
      <c r="D137" s="64"/>
    </row>
    <row r="138">
      <c r="D138" s="64"/>
    </row>
    <row r="139">
      <c r="D139" s="64"/>
    </row>
    <row r="140">
      <c r="D140" s="64"/>
    </row>
    <row r="141">
      <c r="D141" s="64"/>
    </row>
    <row r="142">
      <c r="D142" s="64"/>
    </row>
    <row r="143">
      <c r="D143" s="64"/>
    </row>
    <row r="144">
      <c r="D144" s="64"/>
    </row>
    <row r="145">
      <c r="D145" s="64"/>
    </row>
    <row r="146">
      <c r="D146" s="64"/>
    </row>
    <row r="147">
      <c r="D147" s="64"/>
    </row>
    <row r="148">
      <c r="D148" s="64"/>
    </row>
    <row r="149">
      <c r="D149" s="64"/>
    </row>
    <row r="150">
      <c r="D150" s="64"/>
    </row>
    <row r="151">
      <c r="D151" s="64"/>
    </row>
    <row r="152">
      <c r="D152" s="64"/>
    </row>
    <row r="153">
      <c r="D153" s="64"/>
    </row>
    <row r="154">
      <c r="D154" s="64"/>
    </row>
    <row r="155">
      <c r="D155" s="64"/>
    </row>
    <row r="156">
      <c r="D156" s="64"/>
    </row>
    <row r="157">
      <c r="D157" s="64"/>
    </row>
    <row r="158">
      <c r="D158" s="64"/>
    </row>
    <row r="159">
      <c r="D159" s="64"/>
    </row>
    <row r="160">
      <c r="D160" s="64"/>
    </row>
    <row r="161">
      <c r="D161" s="64"/>
    </row>
    <row r="162">
      <c r="D162" s="64"/>
    </row>
    <row r="163">
      <c r="D163" s="64"/>
    </row>
    <row r="164">
      <c r="D164" s="64"/>
    </row>
    <row r="165">
      <c r="D165" s="64"/>
    </row>
    <row r="166">
      <c r="D166" s="64"/>
    </row>
    <row r="167">
      <c r="D167" s="64"/>
    </row>
    <row r="168">
      <c r="D168" s="64"/>
    </row>
    <row r="169">
      <c r="D169" s="64"/>
    </row>
    <row r="170">
      <c r="D170" s="64"/>
    </row>
    <row r="171">
      <c r="D171" s="64"/>
    </row>
    <row r="172">
      <c r="D172" s="64"/>
    </row>
    <row r="173">
      <c r="D173" s="64"/>
    </row>
    <row r="174">
      <c r="D174" s="64"/>
    </row>
    <row r="175">
      <c r="D175" s="64"/>
    </row>
    <row r="176">
      <c r="D176" s="64"/>
    </row>
    <row r="177">
      <c r="D177" s="64"/>
    </row>
    <row r="178">
      <c r="D178" s="64"/>
    </row>
    <row r="179">
      <c r="D179" s="64"/>
    </row>
    <row r="180">
      <c r="D180" s="64"/>
    </row>
    <row r="181">
      <c r="D181" s="64"/>
    </row>
    <row r="182">
      <c r="D182" s="64"/>
    </row>
    <row r="183">
      <c r="D183" s="64"/>
    </row>
    <row r="184">
      <c r="D184" s="64"/>
    </row>
    <row r="185">
      <c r="D185" s="64"/>
    </row>
    <row r="186">
      <c r="D186" s="64"/>
    </row>
    <row r="187">
      <c r="D187" s="64"/>
    </row>
    <row r="188">
      <c r="D188" s="64"/>
    </row>
    <row r="189">
      <c r="D189" s="64"/>
    </row>
    <row r="190">
      <c r="D190" s="64"/>
    </row>
    <row r="191">
      <c r="D191" s="64"/>
    </row>
    <row r="192">
      <c r="D192" s="64"/>
    </row>
    <row r="193">
      <c r="D193" s="64"/>
    </row>
    <row r="194">
      <c r="D194" s="64"/>
    </row>
    <row r="195">
      <c r="D195" s="64"/>
    </row>
    <row r="196">
      <c r="D196" s="64"/>
    </row>
    <row r="197">
      <c r="D197" s="64"/>
    </row>
    <row r="198">
      <c r="D198" s="64"/>
    </row>
    <row r="199">
      <c r="D199" s="64"/>
    </row>
    <row r="200">
      <c r="D200" s="64"/>
    </row>
    <row r="201">
      <c r="D201" s="64"/>
    </row>
    <row r="202">
      <c r="D202" s="64"/>
    </row>
    <row r="203">
      <c r="D203" s="64"/>
    </row>
    <row r="204">
      <c r="D204" s="64"/>
    </row>
    <row r="205">
      <c r="D205" s="64"/>
    </row>
    <row r="206">
      <c r="D206" s="64"/>
    </row>
    <row r="207">
      <c r="D207" s="64"/>
    </row>
    <row r="208">
      <c r="D208" s="64"/>
    </row>
    <row r="209">
      <c r="D209" s="64"/>
    </row>
    <row r="210">
      <c r="D210" s="64"/>
    </row>
    <row r="211">
      <c r="D211" s="64"/>
    </row>
    <row r="212">
      <c r="D212" s="64"/>
    </row>
    <row r="213">
      <c r="D213" s="64"/>
    </row>
    <row r="214">
      <c r="D214" s="64"/>
    </row>
    <row r="215">
      <c r="D215" s="64"/>
    </row>
    <row r="216">
      <c r="D216" s="64"/>
    </row>
    <row r="217">
      <c r="D217" s="64"/>
    </row>
    <row r="218">
      <c r="D218" s="64"/>
    </row>
    <row r="219">
      <c r="D219" s="64"/>
    </row>
    <row r="220">
      <c r="D220" s="64"/>
    </row>
    <row r="221">
      <c r="D221" s="64"/>
    </row>
    <row r="222">
      <c r="D222" s="64"/>
    </row>
    <row r="223">
      <c r="D223" s="64"/>
    </row>
    <row r="224">
      <c r="D224" s="64"/>
    </row>
    <row r="225">
      <c r="D225" s="64"/>
    </row>
    <row r="226">
      <c r="D226" s="64"/>
    </row>
    <row r="227">
      <c r="D227" s="64"/>
    </row>
    <row r="228">
      <c r="D228" s="64"/>
    </row>
    <row r="229">
      <c r="D229" s="64"/>
    </row>
    <row r="230">
      <c r="D230" s="64"/>
    </row>
    <row r="231">
      <c r="D231" s="64"/>
    </row>
    <row r="232">
      <c r="D232" s="64"/>
    </row>
    <row r="233">
      <c r="D233" s="64"/>
    </row>
    <row r="234">
      <c r="D234" s="64"/>
    </row>
    <row r="235">
      <c r="D235" s="64"/>
    </row>
    <row r="236">
      <c r="D236" s="64"/>
    </row>
    <row r="237">
      <c r="D237" s="64"/>
    </row>
    <row r="238">
      <c r="D238" s="64"/>
    </row>
    <row r="239">
      <c r="D239" s="64"/>
    </row>
    <row r="240">
      <c r="D240" s="64"/>
    </row>
    <row r="241">
      <c r="D241" s="64"/>
    </row>
    <row r="242">
      <c r="D242" s="64"/>
    </row>
    <row r="243">
      <c r="D243" s="64"/>
    </row>
    <row r="244">
      <c r="D244" s="64"/>
    </row>
    <row r="245">
      <c r="D245" s="64"/>
    </row>
    <row r="246">
      <c r="D246" s="64"/>
    </row>
    <row r="247">
      <c r="D247" s="64"/>
    </row>
    <row r="248">
      <c r="D248" s="64"/>
    </row>
    <row r="249">
      <c r="D249" s="64"/>
    </row>
    <row r="250">
      <c r="D250" s="64"/>
    </row>
    <row r="251">
      <c r="D251" s="64"/>
    </row>
    <row r="252">
      <c r="D252" s="64"/>
    </row>
    <row r="253">
      <c r="D253" s="64"/>
    </row>
    <row r="254">
      <c r="D254" s="64"/>
    </row>
    <row r="255">
      <c r="D255" s="64"/>
    </row>
    <row r="256">
      <c r="D256" s="64"/>
    </row>
    <row r="257">
      <c r="D257" s="64"/>
    </row>
    <row r="258">
      <c r="D258" s="64"/>
    </row>
    <row r="259">
      <c r="D259" s="64"/>
    </row>
    <row r="260">
      <c r="D260" s="64"/>
    </row>
    <row r="261">
      <c r="D261" s="64"/>
    </row>
    <row r="262">
      <c r="D262" s="64"/>
    </row>
    <row r="263">
      <c r="D263" s="64"/>
    </row>
    <row r="264">
      <c r="D264" s="64"/>
    </row>
    <row r="265">
      <c r="D265" s="64"/>
    </row>
    <row r="266">
      <c r="D266" s="64"/>
    </row>
    <row r="267">
      <c r="D267" s="64"/>
    </row>
    <row r="268">
      <c r="D268" s="64"/>
    </row>
    <row r="269">
      <c r="D269" s="64"/>
    </row>
    <row r="270">
      <c r="D270" s="64"/>
    </row>
    <row r="271">
      <c r="D271" s="64"/>
    </row>
    <row r="272">
      <c r="D272" s="64"/>
    </row>
    <row r="273">
      <c r="D273" s="64"/>
    </row>
    <row r="274">
      <c r="D274" s="64"/>
    </row>
    <row r="275">
      <c r="D275" s="64"/>
    </row>
    <row r="276">
      <c r="D276" s="64"/>
    </row>
    <row r="277">
      <c r="D277" s="64"/>
    </row>
    <row r="278">
      <c r="D278" s="64"/>
    </row>
    <row r="279">
      <c r="D279" s="64"/>
    </row>
    <row r="280">
      <c r="D280" s="64"/>
    </row>
    <row r="281">
      <c r="D281" s="64"/>
    </row>
    <row r="282">
      <c r="D282" s="64"/>
    </row>
    <row r="283">
      <c r="D283" s="64"/>
    </row>
    <row r="284">
      <c r="D284" s="64"/>
    </row>
    <row r="285">
      <c r="D285" s="64"/>
    </row>
    <row r="286">
      <c r="D286" s="64"/>
    </row>
    <row r="287">
      <c r="D287" s="64"/>
    </row>
    <row r="288">
      <c r="D288" s="64"/>
    </row>
    <row r="289">
      <c r="D289" s="64"/>
    </row>
    <row r="290">
      <c r="D290" s="64"/>
    </row>
    <row r="291">
      <c r="D291" s="64"/>
    </row>
    <row r="292">
      <c r="D292" s="64"/>
    </row>
    <row r="293">
      <c r="D293" s="64"/>
    </row>
    <row r="294">
      <c r="D294" s="64"/>
    </row>
    <row r="295">
      <c r="D295" s="64"/>
    </row>
    <row r="296">
      <c r="D296" s="64"/>
    </row>
    <row r="297">
      <c r="D297" s="64"/>
    </row>
    <row r="298">
      <c r="D298" s="64"/>
    </row>
    <row r="299">
      <c r="D299" s="64"/>
    </row>
    <row r="300">
      <c r="D300" s="64"/>
    </row>
    <row r="301">
      <c r="D301" s="64"/>
    </row>
    <row r="302">
      <c r="D302" s="64"/>
    </row>
    <row r="303">
      <c r="D303" s="64"/>
    </row>
    <row r="304">
      <c r="D304" s="64"/>
    </row>
    <row r="305">
      <c r="D305" s="64"/>
    </row>
    <row r="306">
      <c r="D306" s="64"/>
    </row>
    <row r="307">
      <c r="D307" s="64"/>
    </row>
    <row r="308">
      <c r="D308" s="64"/>
    </row>
    <row r="309">
      <c r="D309" s="64"/>
    </row>
    <row r="310">
      <c r="D310" s="64"/>
    </row>
    <row r="311">
      <c r="D311" s="64"/>
    </row>
    <row r="312">
      <c r="D312" s="64"/>
    </row>
    <row r="313">
      <c r="D313" s="64"/>
    </row>
    <row r="314">
      <c r="D314" s="64"/>
    </row>
    <row r="315">
      <c r="D315" s="64"/>
    </row>
    <row r="316">
      <c r="D316" s="64"/>
    </row>
    <row r="317">
      <c r="D317" s="64"/>
    </row>
    <row r="318">
      <c r="D318" s="64"/>
    </row>
    <row r="319">
      <c r="D319" s="64"/>
    </row>
    <row r="320">
      <c r="D320" s="64"/>
    </row>
    <row r="321">
      <c r="D321" s="64"/>
    </row>
    <row r="322">
      <c r="D322" s="64"/>
    </row>
    <row r="323">
      <c r="D323" s="64"/>
    </row>
    <row r="324">
      <c r="D324" s="64"/>
    </row>
    <row r="325">
      <c r="D325" s="64"/>
    </row>
    <row r="326">
      <c r="D326" s="64"/>
    </row>
    <row r="327">
      <c r="D327" s="64"/>
    </row>
    <row r="328">
      <c r="D328" s="64"/>
    </row>
    <row r="329">
      <c r="D329" s="64"/>
    </row>
    <row r="330">
      <c r="D330" s="64"/>
    </row>
    <row r="331">
      <c r="D331" s="64"/>
    </row>
    <row r="332">
      <c r="D332" s="64"/>
    </row>
    <row r="333">
      <c r="D333" s="64"/>
    </row>
    <row r="334">
      <c r="D334" s="64"/>
    </row>
    <row r="335">
      <c r="D335" s="64"/>
    </row>
    <row r="336">
      <c r="D336" s="64"/>
    </row>
    <row r="337">
      <c r="D337" s="64"/>
    </row>
    <row r="338">
      <c r="D338" s="64"/>
    </row>
    <row r="339">
      <c r="D339" s="64"/>
    </row>
    <row r="340">
      <c r="D340" s="64"/>
    </row>
    <row r="341">
      <c r="D341" s="64"/>
    </row>
    <row r="342">
      <c r="D342" s="64"/>
    </row>
    <row r="343">
      <c r="D343" s="64"/>
    </row>
    <row r="344">
      <c r="D344" s="64"/>
    </row>
    <row r="345">
      <c r="D345" s="64"/>
    </row>
    <row r="346">
      <c r="D346" s="64"/>
    </row>
    <row r="347">
      <c r="D347" s="64"/>
    </row>
    <row r="348">
      <c r="D348" s="64"/>
    </row>
    <row r="349">
      <c r="D349" s="64"/>
    </row>
    <row r="350">
      <c r="D350" s="64"/>
    </row>
    <row r="351">
      <c r="D351" s="64"/>
    </row>
    <row r="352">
      <c r="D352" s="64"/>
    </row>
    <row r="353">
      <c r="D353" s="64"/>
    </row>
    <row r="354">
      <c r="D354" s="64"/>
    </row>
    <row r="355">
      <c r="D355" s="64"/>
    </row>
    <row r="356">
      <c r="D356" s="64"/>
    </row>
    <row r="357">
      <c r="D357" s="64"/>
    </row>
    <row r="358">
      <c r="D358" s="64"/>
    </row>
    <row r="359">
      <c r="D359" s="64"/>
    </row>
    <row r="360">
      <c r="D360" s="64"/>
    </row>
    <row r="361">
      <c r="D361" s="64"/>
    </row>
    <row r="362">
      <c r="D362" s="64"/>
    </row>
    <row r="363">
      <c r="D363" s="64"/>
    </row>
    <row r="364">
      <c r="D364" s="64"/>
    </row>
    <row r="365">
      <c r="D365" s="64"/>
    </row>
    <row r="366">
      <c r="D366" s="64"/>
    </row>
    <row r="367">
      <c r="D367" s="64"/>
    </row>
    <row r="368">
      <c r="D368" s="64"/>
    </row>
    <row r="369">
      <c r="D369" s="64"/>
    </row>
    <row r="370">
      <c r="D370" s="64"/>
    </row>
    <row r="371">
      <c r="D371" s="64"/>
    </row>
    <row r="372">
      <c r="D372" s="64"/>
    </row>
    <row r="373">
      <c r="D373" s="64"/>
    </row>
    <row r="374">
      <c r="D374" s="64"/>
    </row>
    <row r="375">
      <c r="D375" s="64"/>
    </row>
    <row r="376">
      <c r="D376" s="64"/>
    </row>
    <row r="377">
      <c r="D377" s="64"/>
    </row>
    <row r="378">
      <c r="D378" s="64"/>
    </row>
    <row r="379">
      <c r="D379" s="64"/>
    </row>
    <row r="380">
      <c r="D380" s="64"/>
    </row>
    <row r="381">
      <c r="D381" s="64"/>
    </row>
    <row r="382">
      <c r="D382" s="64"/>
    </row>
    <row r="383">
      <c r="D383" s="64"/>
    </row>
    <row r="384">
      <c r="D384" s="64"/>
    </row>
    <row r="385">
      <c r="D385" s="64"/>
    </row>
    <row r="386">
      <c r="D386" s="64"/>
    </row>
    <row r="387">
      <c r="D387" s="64"/>
    </row>
    <row r="388">
      <c r="D388" s="64"/>
    </row>
    <row r="389">
      <c r="D389" s="64"/>
    </row>
    <row r="390">
      <c r="D390" s="64"/>
    </row>
    <row r="391">
      <c r="D391" s="64"/>
    </row>
    <row r="392">
      <c r="D392" s="64"/>
    </row>
    <row r="393">
      <c r="D393" s="64"/>
    </row>
    <row r="394">
      <c r="D394" s="64"/>
    </row>
    <row r="395">
      <c r="D395" s="64"/>
    </row>
    <row r="396">
      <c r="D396" s="64"/>
    </row>
    <row r="397">
      <c r="D397" s="64"/>
    </row>
    <row r="398">
      <c r="D398" s="64"/>
    </row>
    <row r="399">
      <c r="D399" s="64"/>
    </row>
    <row r="400">
      <c r="D400" s="64"/>
    </row>
    <row r="401">
      <c r="D401" s="64"/>
    </row>
    <row r="402">
      <c r="D402" s="64"/>
    </row>
    <row r="403">
      <c r="D403" s="64"/>
    </row>
    <row r="404">
      <c r="D404" s="64"/>
    </row>
    <row r="405">
      <c r="D405" s="64"/>
    </row>
    <row r="406">
      <c r="D406" s="64"/>
    </row>
    <row r="407">
      <c r="D407" s="64"/>
    </row>
    <row r="408">
      <c r="D408" s="64"/>
    </row>
    <row r="409">
      <c r="D409" s="64"/>
    </row>
    <row r="410">
      <c r="D410" s="64"/>
    </row>
    <row r="411">
      <c r="D411" s="64"/>
    </row>
    <row r="412">
      <c r="D412" s="64"/>
    </row>
    <row r="413">
      <c r="D413" s="64"/>
    </row>
    <row r="414">
      <c r="D414" s="64"/>
    </row>
    <row r="415">
      <c r="D415" s="64"/>
    </row>
    <row r="416">
      <c r="D416" s="64"/>
    </row>
    <row r="417">
      <c r="D417" s="64"/>
    </row>
    <row r="418">
      <c r="D418" s="64"/>
    </row>
    <row r="419">
      <c r="D419" s="64"/>
    </row>
    <row r="420">
      <c r="D420" s="64"/>
    </row>
    <row r="421">
      <c r="D421" s="64"/>
    </row>
    <row r="422">
      <c r="D422" s="64"/>
    </row>
    <row r="423">
      <c r="D423" s="64"/>
    </row>
    <row r="424">
      <c r="D424" s="64"/>
    </row>
    <row r="425">
      <c r="D425" s="64"/>
    </row>
    <row r="426">
      <c r="D426" s="64"/>
    </row>
    <row r="427">
      <c r="D427" s="64"/>
    </row>
    <row r="428">
      <c r="D428" s="64"/>
    </row>
    <row r="429">
      <c r="D429" s="64"/>
    </row>
    <row r="430">
      <c r="D430" s="64"/>
    </row>
    <row r="431">
      <c r="D431" s="64"/>
    </row>
    <row r="432">
      <c r="D432" s="64"/>
    </row>
    <row r="433">
      <c r="D433" s="64"/>
    </row>
    <row r="434">
      <c r="D434" s="64"/>
    </row>
    <row r="435">
      <c r="D435" s="64"/>
    </row>
    <row r="436">
      <c r="D436" s="64"/>
    </row>
    <row r="437">
      <c r="D437" s="64"/>
    </row>
    <row r="438">
      <c r="D438" s="64"/>
    </row>
    <row r="439">
      <c r="D439" s="64"/>
    </row>
    <row r="440">
      <c r="D440" s="64"/>
    </row>
    <row r="441">
      <c r="D441" s="64"/>
    </row>
    <row r="442">
      <c r="D442" s="64"/>
    </row>
    <row r="443">
      <c r="D443" s="64"/>
    </row>
    <row r="444">
      <c r="D444" s="64"/>
    </row>
    <row r="445">
      <c r="D445" s="64"/>
    </row>
    <row r="446">
      <c r="D446" s="64"/>
    </row>
    <row r="447">
      <c r="D447" s="64"/>
    </row>
    <row r="448">
      <c r="D448" s="64"/>
    </row>
    <row r="449">
      <c r="D449" s="64"/>
    </row>
    <row r="450">
      <c r="D450" s="64"/>
    </row>
    <row r="451">
      <c r="D451" s="64"/>
    </row>
    <row r="452">
      <c r="D452" s="64"/>
    </row>
    <row r="453">
      <c r="D453" s="64"/>
    </row>
    <row r="454">
      <c r="D454" s="64"/>
    </row>
    <row r="455">
      <c r="D455" s="64"/>
    </row>
    <row r="456">
      <c r="D456" s="64"/>
    </row>
    <row r="457">
      <c r="D457" s="64"/>
    </row>
    <row r="458">
      <c r="D458" s="64"/>
    </row>
    <row r="459">
      <c r="D459" s="64"/>
    </row>
    <row r="460">
      <c r="D460" s="64"/>
    </row>
    <row r="461">
      <c r="D461" s="64"/>
    </row>
    <row r="462">
      <c r="D462" s="64"/>
    </row>
    <row r="463">
      <c r="D463" s="64"/>
    </row>
    <row r="464">
      <c r="D464" s="64"/>
    </row>
    <row r="465">
      <c r="D465" s="64"/>
    </row>
    <row r="466">
      <c r="D466" s="64"/>
    </row>
    <row r="467">
      <c r="D467" s="64"/>
    </row>
    <row r="468">
      <c r="D468" s="64"/>
    </row>
    <row r="469">
      <c r="D469" s="64"/>
    </row>
    <row r="470">
      <c r="D470" s="64"/>
    </row>
    <row r="471">
      <c r="D471" s="64"/>
    </row>
    <row r="472">
      <c r="D472" s="64"/>
    </row>
    <row r="473">
      <c r="D473" s="64"/>
    </row>
    <row r="474">
      <c r="D474" s="64"/>
    </row>
    <row r="475">
      <c r="D475" s="64"/>
    </row>
    <row r="476">
      <c r="D476" s="64"/>
    </row>
    <row r="477">
      <c r="D477" s="64"/>
    </row>
    <row r="478">
      <c r="D478" s="64"/>
    </row>
    <row r="479">
      <c r="D479" s="64"/>
    </row>
    <row r="480">
      <c r="D480" s="64"/>
    </row>
    <row r="481">
      <c r="D481" s="64"/>
    </row>
    <row r="482">
      <c r="D482" s="64"/>
    </row>
    <row r="483">
      <c r="D483" s="64"/>
    </row>
    <row r="484">
      <c r="D484" s="64"/>
    </row>
    <row r="485">
      <c r="D485" s="64"/>
    </row>
    <row r="486">
      <c r="D486" s="64"/>
    </row>
    <row r="487">
      <c r="D487" s="64"/>
    </row>
    <row r="488">
      <c r="D488" s="64"/>
    </row>
    <row r="489">
      <c r="D489" s="64"/>
    </row>
    <row r="490">
      <c r="D490" s="64"/>
    </row>
    <row r="491">
      <c r="D491" s="64"/>
    </row>
    <row r="492">
      <c r="D492" s="64"/>
    </row>
    <row r="493">
      <c r="D493" s="64"/>
    </row>
    <row r="494">
      <c r="D494" s="64"/>
    </row>
    <row r="495">
      <c r="D495" s="64"/>
    </row>
    <row r="496">
      <c r="D496" s="64"/>
    </row>
    <row r="497">
      <c r="D497" s="64"/>
    </row>
    <row r="498">
      <c r="D498" s="64"/>
    </row>
    <row r="499">
      <c r="D499" s="64"/>
    </row>
    <row r="500">
      <c r="D500" s="64"/>
    </row>
    <row r="501">
      <c r="D501" s="64"/>
    </row>
    <row r="502">
      <c r="D502" s="64"/>
    </row>
    <row r="503">
      <c r="D503" s="64"/>
    </row>
    <row r="504">
      <c r="D504" s="64"/>
    </row>
    <row r="505">
      <c r="D505" s="64"/>
    </row>
    <row r="506">
      <c r="D506" s="64"/>
    </row>
    <row r="507">
      <c r="D507" s="64"/>
    </row>
    <row r="508">
      <c r="D508" s="64"/>
    </row>
    <row r="509">
      <c r="D509" s="64"/>
    </row>
    <row r="510">
      <c r="D510" s="64"/>
    </row>
    <row r="511">
      <c r="D511" s="64"/>
    </row>
    <row r="512">
      <c r="D512" s="64"/>
    </row>
    <row r="513">
      <c r="D513" s="64"/>
    </row>
    <row r="514">
      <c r="D514" s="64"/>
    </row>
    <row r="515">
      <c r="D515" s="64"/>
    </row>
    <row r="516">
      <c r="D516" s="64"/>
    </row>
    <row r="517">
      <c r="D517" s="64"/>
    </row>
    <row r="518">
      <c r="D518" s="64"/>
    </row>
    <row r="519">
      <c r="D519" s="64"/>
    </row>
    <row r="520">
      <c r="D520" s="64"/>
    </row>
    <row r="521">
      <c r="D521" s="64"/>
    </row>
    <row r="522">
      <c r="D522" s="64"/>
    </row>
    <row r="523">
      <c r="D523" s="64"/>
    </row>
    <row r="524">
      <c r="D524" s="64"/>
    </row>
    <row r="525">
      <c r="D525" s="64"/>
    </row>
    <row r="526">
      <c r="D526" s="64"/>
    </row>
    <row r="527">
      <c r="D527" s="64"/>
    </row>
    <row r="528">
      <c r="D528" s="64"/>
    </row>
    <row r="529">
      <c r="D529" s="64"/>
    </row>
    <row r="530">
      <c r="D530" s="64"/>
    </row>
    <row r="531">
      <c r="D531" s="64"/>
    </row>
    <row r="532">
      <c r="D532" s="64"/>
    </row>
    <row r="533">
      <c r="D533" s="64"/>
    </row>
    <row r="534">
      <c r="D534" s="64"/>
    </row>
    <row r="535">
      <c r="D535" s="64"/>
    </row>
    <row r="536">
      <c r="D536" s="64"/>
    </row>
    <row r="537">
      <c r="D537" s="64"/>
    </row>
    <row r="538">
      <c r="D538" s="64"/>
    </row>
    <row r="539">
      <c r="D539" s="64"/>
    </row>
    <row r="540">
      <c r="D540" s="64"/>
    </row>
    <row r="541">
      <c r="D541" s="64"/>
    </row>
    <row r="542">
      <c r="D542" s="64"/>
    </row>
    <row r="543">
      <c r="D543" s="64"/>
    </row>
    <row r="544">
      <c r="D544" s="64"/>
    </row>
    <row r="545">
      <c r="D545" s="64"/>
    </row>
    <row r="546">
      <c r="D546" s="64"/>
    </row>
    <row r="547">
      <c r="D547" s="64"/>
    </row>
    <row r="548">
      <c r="D548" s="64"/>
    </row>
    <row r="549">
      <c r="D549" s="64"/>
    </row>
    <row r="550">
      <c r="D550" s="64"/>
    </row>
    <row r="551">
      <c r="D551" s="64"/>
    </row>
    <row r="552">
      <c r="D552" s="64"/>
    </row>
    <row r="553">
      <c r="D553" s="64"/>
    </row>
    <row r="554">
      <c r="D554" s="64"/>
    </row>
    <row r="555">
      <c r="D555" s="64"/>
    </row>
    <row r="556">
      <c r="D556" s="64"/>
    </row>
    <row r="557">
      <c r="D557" s="64"/>
    </row>
    <row r="558">
      <c r="D558" s="64"/>
    </row>
    <row r="559">
      <c r="D559" s="64"/>
    </row>
    <row r="560">
      <c r="D560" s="64"/>
    </row>
    <row r="561">
      <c r="D561" s="64"/>
    </row>
    <row r="562">
      <c r="D562" s="64"/>
    </row>
    <row r="563">
      <c r="D563" s="64"/>
    </row>
    <row r="564">
      <c r="D564" s="64"/>
    </row>
    <row r="565">
      <c r="D565" s="64"/>
    </row>
    <row r="566">
      <c r="D566" s="64"/>
    </row>
    <row r="567">
      <c r="D567" s="64"/>
    </row>
    <row r="568">
      <c r="D568" s="64"/>
    </row>
    <row r="569">
      <c r="D569" s="64"/>
    </row>
    <row r="570">
      <c r="D570" s="64"/>
    </row>
    <row r="571">
      <c r="D571" s="64"/>
    </row>
    <row r="572">
      <c r="D572" s="64"/>
    </row>
    <row r="573">
      <c r="D573" s="64"/>
    </row>
    <row r="574">
      <c r="D574" s="64"/>
    </row>
    <row r="575">
      <c r="D575" s="64"/>
    </row>
    <row r="576">
      <c r="D576" s="64"/>
    </row>
    <row r="577">
      <c r="D577" s="64"/>
    </row>
    <row r="578">
      <c r="D578" s="64"/>
    </row>
    <row r="579">
      <c r="D579" s="64"/>
    </row>
    <row r="580">
      <c r="D580" s="64"/>
    </row>
    <row r="581">
      <c r="D581" s="64"/>
    </row>
    <row r="582">
      <c r="D582" s="64"/>
    </row>
    <row r="583">
      <c r="D583" s="64"/>
    </row>
    <row r="584">
      <c r="D584" s="64"/>
    </row>
    <row r="585">
      <c r="D585" s="64"/>
    </row>
    <row r="586">
      <c r="D586" s="64"/>
    </row>
    <row r="587">
      <c r="D587" s="64"/>
    </row>
    <row r="588">
      <c r="D588" s="64"/>
    </row>
    <row r="589">
      <c r="D589" s="64"/>
    </row>
    <row r="590">
      <c r="D590" s="64"/>
    </row>
    <row r="591">
      <c r="D591" s="64"/>
    </row>
    <row r="592">
      <c r="D592" s="64"/>
    </row>
    <row r="593">
      <c r="D593" s="64"/>
    </row>
    <row r="594">
      <c r="D594" s="64"/>
    </row>
    <row r="595">
      <c r="D595" s="64"/>
    </row>
    <row r="596">
      <c r="D596" s="64"/>
    </row>
    <row r="597">
      <c r="D597" s="64"/>
    </row>
    <row r="598">
      <c r="D598" s="64"/>
    </row>
    <row r="599">
      <c r="D599" s="64"/>
    </row>
    <row r="600">
      <c r="D600" s="64"/>
    </row>
    <row r="601">
      <c r="D601" s="64"/>
    </row>
    <row r="602">
      <c r="D602" s="64"/>
    </row>
    <row r="603">
      <c r="D603" s="64"/>
    </row>
    <row r="604">
      <c r="D604" s="64"/>
    </row>
    <row r="605">
      <c r="D605" s="64"/>
    </row>
    <row r="606">
      <c r="D606" s="64"/>
    </row>
    <row r="607">
      <c r="D607" s="64"/>
    </row>
    <row r="608">
      <c r="D608" s="64"/>
    </row>
    <row r="609">
      <c r="D609" s="64"/>
    </row>
    <row r="610">
      <c r="D610" s="64"/>
    </row>
    <row r="611">
      <c r="D611" s="64"/>
    </row>
    <row r="612">
      <c r="D612" s="64"/>
    </row>
    <row r="613">
      <c r="D613" s="64"/>
    </row>
    <row r="614">
      <c r="D614" s="64"/>
    </row>
    <row r="615">
      <c r="D615" s="64"/>
    </row>
    <row r="616">
      <c r="D616" s="64"/>
    </row>
    <row r="617">
      <c r="D617" s="64"/>
    </row>
    <row r="618">
      <c r="D618" s="64"/>
    </row>
    <row r="619">
      <c r="D619" s="64"/>
    </row>
    <row r="620">
      <c r="D620" s="64"/>
    </row>
    <row r="621">
      <c r="D621" s="64"/>
    </row>
    <row r="622">
      <c r="D622" s="64"/>
    </row>
    <row r="623">
      <c r="D623" s="64"/>
    </row>
    <row r="624">
      <c r="D624" s="64"/>
    </row>
    <row r="625">
      <c r="D625" s="64"/>
    </row>
    <row r="626">
      <c r="D626" s="64"/>
    </row>
    <row r="627">
      <c r="D627" s="64"/>
    </row>
    <row r="628">
      <c r="D628" s="64"/>
    </row>
    <row r="629">
      <c r="D629" s="64"/>
    </row>
    <row r="630">
      <c r="D630" s="64"/>
    </row>
    <row r="631">
      <c r="D631" s="64"/>
    </row>
    <row r="632">
      <c r="D632" s="64"/>
    </row>
    <row r="633">
      <c r="D633" s="64"/>
    </row>
    <row r="634">
      <c r="D634" s="64"/>
    </row>
    <row r="635">
      <c r="D635" s="64"/>
    </row>
    <row r="636">
      <c r="D636" s="64"/>
    </row>
    <row r="637">
      <c r="D637" s="64"/>
    </row>
    <row r="638">
      <c r="D638" s="64"/>
    </row>
    <row r="639">
      <c r="D639" s="64"/>
    </row>
    <row r="640">
      <c r="D640" s="64"/>
    </row>
    <row r="641">
      <c r="D641" s="64"/>
    </row>
    <row r="642">
      <c r="D642" s="64"/>
    </row>
    <row r="643">
      <c r="D643" s="64"/>
    </row>
    <row r="644">
      <c r="D644" s="64"/>
    </row>
    <row r="645">
      <c r="D645" s="64"/>
    </row>
    <row r="646">
      <c r="D646" s="64"/>
    </row>
    <row r="647">
      <c r="D647" s="64"/>
    </row>
    <row r="648">
      <c r="D648" s="64"/>
    </row>
    <row r="649">
      <c r="D649" s="64"/>
    </row>
    <row r="650">
      <c r="D650" s="64"/>
    </row>
    <row r="651">
      <c r="D651" s="64"/>
    </row>
    <row r="652">
      <c r="D652" s="64"/>
    </row>
    <row r="653">
      <c r="D653" s="64"/>
    </row>
    <row r="654">
      <c r="D654" s="64"/>
    </row>
    <row r="655">
      <c r="D655" s="64"/>
    </row>
    <row r="656">
      <c r="D656" s="64"/>
    </row>
    <row r="657">
      <c r="D657" s="64"/>
    </row>
    <row r="658">
      <c r="D658" s="64"/>
    </row>
    <row r="659">
      <c r="D659" s="64"/>
    </row>
    <row r="660">
      <c r="D660" s="64"/>
    </row>
    <row r="661">
      <c r="D661" s="64"/>
    </row>
    <row r="662">
      <c r="D662" s="64"/>
    </row>
    <row r="663">
      <c r="D663" s="64"/>
    </row>
    <row r="664">
      <c r="D664" s="64"/>
    </row>
    <row r="665">
      <c r="D665" s="64"/>
    </row>
    <row r="666">
      <c r="D666" s="64"/>
    </row>
    <row r="667">
      <c r="D667" s="64"/>
    </row>
    <row r="668">
      <c r="D668" s="64"/>
    </row>
    <row r="669">
      <c r="D669" s="64"/>
    </row>
    <row r="670">
      <c r="D670" s="64"/>
    </row>
    <row r="671">
      <c r="D671" s="64"/>
    </row>
    <row r="672">
      <c r="D672" s="64"/>
    </row>
    <row r="673">
      <c r="D673" s="64"/>
    </row>
    <row r="674">
      <c r="D674" s="64"/>
    </row>
    <row r="675">
      <c r="D675" s="64"/>
    </row>
    <row r="676">
      <c r="D676" s="64"/>
    </row>
    <row r="677">
      <c r="D677" s="64"/>
    </row>
    <row r="678">
      <c r="D678" s="64"/>
    </row>
    <row r="679">
      <c r="D679" s="64"/>
    </row>
    <row r="680">
      <c r="D680" s="64"/>
    </row>
    <row r="681">
      <c r="D681" s="64"/>
    </row>
    <row r="682">
      <c r="D682" s="64"/>
    </row>
    <row r="683">
      <c r="D683" s="64"/>
    </row>
    <row r="684">
      <c r="D684" s="64"/>
    </row>
    <row r="685">
      <c r="D685" s="64"/>
    </row>
    <row r="686">
      <c r="D686" s="64"/>
    </row>
    <row r="687">
      <c r="D687" s="64"/>
    </row>
    <row r="688">
      <c r="D688" s="64"/>
    </row>
    <row r="689">
      <c r="D689" s="64"/>
    </row>
    <row r="690">
      <c r="D690" s="64"/>
    </row>
    <row r="691">
      <c r="D691" s="64"/>
    </row>
    <row r="692">
      <c r="D692" s="64"/>
    </row>
    <row r="693">
      <c r="D693" s="64"/>
    </row>
    <row r="694">
      <c r="D694" s="64"/>
    </row>
    <row r="695">
      <c r="D695" s="64"/>
    </row>
    <row r="696">
      <c r="D696" s="64"/>
    </row>
    <row r="697">
      <c r="D697" s="64"/>
    </row>
    <row r="698">
      <c r="D698" s="64"/>
    </row>
    <row r="699">
      <c r="D699" s="64"/>
    </row>
    <row r="700">
      <c r="D700" s="64"/>
    </row>
    <row r="701">
      <c r="D701" s="64"/>
    </row>
    <row r="702">
      <c r="D702" s="64"/>
    </row>
    <row r="703">
      <c r="D703" s="64"/>
    </row>
    <row r="704">
      <c r="D704" s="64"/>
    </row>
    <row r="705">
      <c r="D705" s="64"/>
    </row>
    <row r="706">
      <c r="D706" s="64"/>
    </row>
    <row r="707">
      <c r="D707" s="64"/>
    </row>
    <row r="708">
      <c r="D708" s="64"/>
    </row>
    <row r="709">
      <c r="D709" s="64"/>
    </row>
    <row r="710">
      <c r="D710" s="64"/>
    </row>
    <row r="711">
      <c r="D711" s="64"/>
    </row>
    <row r="712">
      <c r="D712" s="64"/>
    </row>
    <row r="713">
      <c r="D713" s="64"/>
    </row>
    <row r="714">
      <c r="D714" s="64"/>
    </row>
    <row r="715">
      <c r="D715" s="64"/>
    </row>
    <row r="716">
      <c r="D716" s="64"/>
    </row>
    <row r="717">
      <c r="D717" s="64"/>
    </row>
    <row r="718">
      <c r="D718" s="64"/>
    </row>
    <row r="719">
      <c r="D719" s="64"/>
    </row>
    <row r="720">
      <c r="D720" s="64"/>
    </row>
    <row r="721">
      <c r="D721" s="64"/>
    </row>
    <row r="722">
      <c r="D722" s="64"/>
    </row>
    <row r="723">
      <c r="D723" s="64"/>
    </row>
    <row r="724">
      <c r="D724" s="64"/>
    </row>
    <row r="725">
      <c r="D725" s="64"/>
    </row>
    <row r="726">
      <c r="D726" s="64"/>
    </row>
    <row r="727">
      <c r="D727" s="64"/>
    </row>
    <row r="728">
      <c r="D728" s="64"/>
    </row>
    <row r="729">
      <c r="D729" s="64"/>
    </row>
    <row r="730">
      <c r="D730" s="64"/>
    </row>
    <row r="731">
      <c r="D731" s="64"/>
    </row>
    <row r="732">
      <c r="D732" s="64"/>
    </row>
    <row r="733">
      <c r="D733" s="64"/>
    </row>
    <row r="734">
      <c r="D734" s="64"/>
    </row>
    <row r="735">
      <c r="D735" s="64"/>
    </row>
    <row r="736">
      <c r="D736" s="64"/>
    </row>
    <row r="737">
      <c r="D737" s="64"/>
    </row>
    <row r="738">
      <c r="D738" s="64"/>
    </row>
    <row r="739">
      <c r="D739" s="64"/>
    </row>
    <row r="740">
      <c r="D740" s="64"/>
    </row>
    <row r="741">
      <c r="D741" s="64"/>
    </row>
    <row r="742">
      <c r="D742" s="64"/>
    </row>
    <row r="743">
      <c r="D743" s="64"/>
    </row>
    <row r="744">
      <c r="D744" s="64"/>
    </row>
    <row r="745">
      <c r="D745" s="64"/>
    </row>
    <row r="746">
      <c r="D746" s="64"/>
    </row>
    <row r="747">
      <c r="D747" s="64"/>
    </row>
    <row r="748">
      <c r="D748" s="64"/>
    </row>
    <row r="749">
      <c r="D749" s="64"/>
    </row>
    <row r="750">
      <c r="D750" s="64"/>
    </row>
    <row r="751">
      <c r="D751" s="64"/>
    </row>
    <row r="752">
      <c r="D752" s="64"/>
    </row>
    <row r="753">
      <c r="D753" s="64"/>
    </row>
    <row r="754">
      <c r="D754" s="64"/>
    </row>
    <row r="755">
      <c r="D755" s="64"/>
    </row>
    <row r="756">
      <c r="D756" s="64"/>
    </row>
    <row r="757">
      <c r="D757" s="64"/>
    </row>
    <row r="758">
      <c r="D758" s="64"/>
    </row>
    <row r="759">
      <c r="D759" s="64"/>
    </row>
    <row r="760">
      <c r="D760" s="64"/>
    </row>
    <row r="761">
      <c r="D761" s="64"/>
    </row>
    <row r="762">
      <c r="D762" s="64"/>
    </row>
    <row r="763">
      <c r="D763" s="64"/>
    </row>
    <row r="764">
      <c r="D764" s="64"/>
    </row>
    <row r="765">
      <c r="D765" s="64"/>
    </row>
    <row r="766">
      <c r="D766" s="64"/>
    </row>
    <row r="767">
      <c r="D767" s="64"/>
    </row>
    <row r="768">
      <c r="D768" s="64"/>
    </row>
    <row r="769">
      <c r="D769" s="64"/>
    </row>
    <row r="770">
      <c r="D770" s="64"/>
    </row>
    <row r="771">
      <c r="D771" s="64"/>
    </row>
    <row r="772">
      <c r="D772" s="64"/>
    </row>
    <row r="773">
      <c r="D773" s="64"/>
    </row>
    <row r="774">
      <c r="D774" s="64"/>
    </row>
    <row r="775">
      <c r="D775" s="64"/>
    </row>
    <row r="776">
      <c r="D776" s="64"/>
    </row>
    <row r="777">
      <c r="D777" s="64"/>
    </row>
    <row r="778">
      <c r="D778" s="64"/>
    </row>
    <row r="779">
      <c r="D779" s="64"/>
    </row>
    <row r="780">
      <c r="D780" s="64"/>
    </row>
    <row r="781">
      <c r="D781" s="64"/>
    </row>
    <row r="782">
      <c r="D782" s="64"/>
    </row>
    <row r="783">
      <c r="D783" s="64"/>
    </row>
    <row r="784">
      <c r="D784" s="64"/>
    </row>
    <row r="785">
      <c r="D785" s="64"/>
    </row>
    <row r="786">
      <c r="D786" s="64"/>
    </row>
    <row r="787">
      <c r="D787" s="64"/>
    </row>
    <row r="788">
      <c r="D788" s="64"/>
    </row>
    <row r="789">
      <c r="D789" s="64"/>
    </row>
    <row r="790">
      <c r="D790" s="64"/>
    </row>
    <row r="791">
      <c r="D791" s="64"/>
    </row>
    <row r="792">
      <c r="D792" s="64"/>
    </row>
    <row r="793">
      <c r="D793" s="64"/>
    </row>
    <row r="794">
      <c r="D794" s="64"/>
    </row>
    <row r="795">
      <c r="D795" s="64"/>
    </row>
    <row r="796">
      <c r="D796" s="64"/>
    </row>
    <row r="797">
      <c r="D797" s="64"/>
    </row>
    <row r="798">
      <c r="D798" s="64"/>
    </row>
    <row r="799">
      <c r="D799" s="64"/>
    </row>
    <row r="800">
      <c r="D800" s="64"/>
    </row>
    <row r="801">
      <c r="D801" s="64"/>
    </row>
    <row r="802">
      <c r="D802" s="64"/>
    </row>
    <row r="803">
      <c r="D803" s="64"/>
    </row>
    <row r="804">
      <c r="D804" s="64"/>
    </row>
    <row r="805">
      <c r="D805" s="64"/>
    </row>
    <row r="806">
      <c r="D806" s="64"/>
    </row>
    <row r="807">
      <c r="D807" s="64"/>
    </row>
    <row r="808">
      <c r="D808" s="64"/>
    </row>
    <row r="809">
      <c r="D809" s="64"/>
    </row>
    <row r="810">
      <c r="D810" s="64"/>
    </row>
    <row r="811">
      <c r="D811" s="64"/>
    </row>
    <row r="812">
      <c r="D812" s="64"/>
    </row>
    <row r="813">
      <c r="D813" s="64"/>
    </row>
    <row r="814">
      <c r="D814" s="64"/>
    </row>
    <row r="815">
      <c r="D815" s="64"/>
    </row>
    <row r="816">
      <c r="D816" s="64"/>
    </row>
    <row r="817">
      <c r="D817" s="64"/>
    </row>
    <row r="818">
      <c r="D818" s="64"/>
    </row>
    <row r="819">
      <c r="D819" s="64"/>
    </row>
    <row r="820">
      <c r="D820" s="64"/>
    </row>
    <row r="821">
      <c r="D821" s="64"/>
    </row>
    <row r="822">
      <c r="D822" s="64"/>
    </row>
    <row r="823">
      <c r="D823" s="64"/>
    </row>
    <row r="824">
      <c r="D824" s="64"/>
    </row>
    <row r="825">
      <c r="D825" s="64"/>
    </row>
    <row r="826">
      <c r="D826" s="64"/>
    </row>
    <row r="827">
      <c r="D827" s="64"/>
    </row>
    <row r="828">
      <c r="D828" s="64"/>
    </row>
    <row r="829">
      <c r="D829" s="64"/>
    </row>
    <row r="830">
      <c r="D830" s="64"/>
    </row>
    <row r="831">
      <c r="D831" s="64"/>
    </row>
    <row r="832">
      <c r="D832" s="64"/>
    </row>
    <row r="833">
      <c r="D833" s="64"/>
    </row>
    <row r="834">
      <c r="D834" s="64"/>
    </row>
    <row r="835">
      <c r="D835" s="64"/>
    </row>
    <row r="836">
      <c r="D836" s="64"/>
    </row>
    <row r="837">
      <c r="D837" s="64"/>
    </row>
    <row r="838">
      <c r="D838" s="64"/>
    </row>
    <row r="839">
      <c r="D839" s="64"/>
    </row>
    <row r="840">
      <c r="D840" s="64"/>
    </row>
    <row r="841">
      <c r="D841" s="64"/>
    </row>
    <row r="842">
      <c r="D842" s="64"/>
    </row>
    <row r="843">
      <c r="D843" s="64"/>
    </row>
    <row r="844">
      <c r="D844" s="64"/>
    </row>
    <row r="845">
      <c r="D845" s="64"/>
    </row>
    <row r="846">
      <c r="D846" s="64"/>
    </row>
    <row r="847">
      <c r="D847" s="64"/>
    </row>
    <row r="848">
      <c r="D848" s="64"/>
    </row>
    <row r="849">
      <c r="D849" s="64"/>
    </row>
    <row r="850">
      <c r="D850" s="64"/>
    </row>
    <row r="851">
      <c r="D851" s="64"/>
    </row>
    <row r="852">
      <c r="D852" s="64"/>
    </row>
    <row r="853">
      <c r="D853" s="64"/>
    </row>
    <row r="854">
      <c r="D854" s="64"/>
    </row>
    <row r="855">
      <c r="D855" s="64"/>
    </row>
    <row r="856">
      <c r="D856" s="64"/>
    </row>
    <row r="857">
      <c r="D857" s="64"/>
    </row>
    <row r="858">
      <c r="D858" s="64"/>
    </row>
    <row r="859">
      <c r="D859" s="64"/>
    </row>
    <row r="860">
      <c r="D860" s="64"/>
    </row>
    <row r="861">
      <c r="D861" s="64"/>
    </row>
    <row r="862">
      <c r="D862" s="64"/>
    </row>
    <row r="863">
      <c r="D863" s="64"/>
    </row>
    <row r="864">
      <c r="D864" s="64"/>
    </row>
    <row r="865">
      <c r="D865" s="64"/>
    </row>
    <row r="866">
      <c r="D866" s="64"/>
    </row>
    <row r="867">
      <c r="D867" s="64"/>
    </row>
    <row r="868">
      <c r="D868" s="64"/>
    </row>
    <row r="869">
      <c r="D869" s="64"/>
    </row>
    <row r="870">
      <c r="D870" s="64"/>
    </row>
    <row r="871">
      <c r="D871" s="64"/>
    </row>
    <row r="872">
      <c r="D872" s="64"/>
    </row>
    <row r="873">
      <c r="D873" s="64"/>
    </row>
    <row r="874">
      <c r="D874" s="64"/>
    </row>
    <row r="875">
      <c r="D875" s="64"/>
    </row>
    <row r="876">
      <c r="D876" s="64"/>
    </row>
    <row r="877">
      <c r="D877" s="64"/>
    </row>
    <row r="878">
      <c r="D878" s="64"/>
    </row>
    <row r="879">
      <c r="D879" s="64"/>
    </row>
    <row r="880">
      <c r="D880" s="64"/>
    </row>
    <row r="881">
      <c r="D881" s="64"/>
    </row>
    <row r="882">
      <c r="D882" s="64"/>
    </row>
    <row r="883">
      <c r="D883" s="64"/>
    </row>
    <row r="884">
      <c r="D884" s="64"/>
    </row>
    <row r="885">
      <c r="D885" s="64"/>
    </row>
    <row r="886">
      <c r="D886" s="64"/>
    </row>
    <row r="887">
      <c r="D887" s="64"/>
    </row>
    <row r="888">
      <c r="D888" s="64"/>
    </row>
    <row r="889">
      <c r="D889" s="64"/>
    </row>
    <row r="890">
      <c r="D890" s="64"/>
    </row>
    <row r="891">
      <c r="D891" s="64"/>
    </row>
    <row r="892">
      <c r="D892" s="64"/>
    </row>
    <row r="893">
      <c r="D893" s="64"/>
    </row>
    <row r="894">
      <c r="D894" s="64"/>
    </row>
    <row r="895">
      <c r="D895" s="64"/>
    </row>
    <row r="896">
      <c r="D896" s="64"/>
    </row>
    <row r="897">
      <c r="D897" s="64"/>
    </row>
    <row r="898">
      <c r="D898" s="64"/>
    </row>
    <row r="899">
      <c r="D899" s="64"/>
    </row>
    <row r="900">
      <c r="D900" s="64"/>
    </row>
    <row r="901">
      <c r="D901" s="64"/>
    </row>
    <row r="902">
      <c r="D902" s="64"/>
    </row>
    <row r="903">
      <c r="D903" s="64"/>
    </row>
    <row r="904">
      <c r="D904" s="64"/>
    </row>
    <row r="905">
      <c r="D905" s="64"/>
    </row>
    <row r="906">
      <c r="D906" s="64"/>
    </row>
    <row r="907">
      <c r="D907" s="64"/>
    </row>
    <row r="908">
      <c r="D908" s="64"/>
    </row>
    <row r="909">
      <c r="D909" s="64"/>
    </row>
    <row r="910">
      <c r="D910" s="64"/>
    </row>
    <row r="911">
      <c r="D911" s="64"/>
    </row>
    <row r="912">
      <c r="D912" s="64"/>
    </row>
    <row r="913">
      <c r="D913" s="64"/>
    </row>
    <row r="914">
      <c r="D914" s="64"/>
    </row>
    <row r="915">
      <c r="D915" s="64"/>
    </row>
    <row r="916">
      <c r="D916" s="64"/>
    </row>
    <row r="917">
      <c r="D917" s="64"/>
    </row>
    <row r="918">
      <c r="D918" s="64"/>
    </row>
    <row r="919">
      <c r="D919" s="64"/>
    </row>
    <row r="920">
      <c r="D920" s="64"/>
    </row>
    <row r="921">
      <c r="D921" s="64"/>
    </row>
    <row r="922">
      <c r="D922" s="64"/>
    </row>
    <row r="923">
      <c r="D923" s="64"/>
    </row>
    <row r="924">
      <c r="D924" s="64"/>
    </row>
    <row r="925">
      <c r="D925" s="64"/>
    </row>
    <row r="926">
      <c r="D926" s="64"/>
    </row>
    <row r="927">
      <c r="D927" s="64"/>
    </row>
    <row r="928">
      <c r="D928" s="64"/>
    </row>
    <row r="929">
      <c r="D929" s="64"/>
    </row>
    <row r="930">
      <c r="D930" s="64"/>
    </row>
    <row r="931">
      <c r="D931" s="64"/>
    </row>
    <row r="932">
      <c r="D932" s="64"/>
    </row>
    <row r="933">
      <c r="D933" s="64"/>
    </row>
    <row r="934">
      <c r="D934" s="64"/>
    </row>
    <row r="935">
      <c r="D935" s="64"/>
    </row>
    <row r="936">
      <c r="D936" s="64"/>
    </row>
    <row r="937">
      <c r="D937" s="64"/>
    </row>
    <row r="938">
      <c r="D938" s="64"/>
    </row>
    <row r="939">
      <c r="D939" s="64"/>
    </row>
    <row r="940">
      <c r="D940" s="64"/>
    </row>
    <row r="941">
      <c r="D941" s="64"/>
    </row>
    <row r="942">
      <c r="D942" s="64"/>
    </row>
    <row r="943">
      <c r="D943" s="64"/>
    </row>
    <row r="944">
      <c r="D944" s="64"/>
    </row>
    <row r="945">
      <c r="D945" s="64"/>
    </row>
    <row r="946">
      <c r="D946" s="64"/>
    </row>
    <row r="947">
      <c r="D947" s="64"/>
    </row>
    <row r="948">
      <c r="D948" s="64"/>
    </row>
    <row r="949">
      <c r="D949" s="64"/>
    </row>
    <row r="950">
      <c r="D950" s="64"/>
    </row>
    <row r="951">
      <c r="D951" s="64"/>
    </row>
    <row r="952">
      <c r="D952" s="64"/>
    </row>
    <row r="953">
      <c r="D953" s="64"/>
    </row>
    <row r="954">
      <c r="D954" s="64"/>
    </row>
    <row r="955">
      <c r="D955" s="64"/>
    </row>
    <row r="956">
      <c r="D956" s="64"/>
    </row>
    <row r="957">
      <c r="D957" s="64"/>
    </row>
    <row r="958">
      <c r="D958" s="64"/>
    </row>
    <row r="959">
      <c r="D959" s="64"/>
    </row>
    <row r="960">
      <c r="D960" s="64"/>
    </row>
    <row r="961">
      <c r="D961" s="64"/>
    </row>
    <row r="962">
      <c r="D962" s="64"/>
    </row>
    <row r="963">
      <c r="D963" s="64"/>
    </row>
    <row r="964">
      <c r="D964" s="64"/>
    </row>
    <row r="965">
      <c r="D965" s="64"/>
    </row>
    <row r="966">
      <c r="D966" s="64"/>
    </row>
    <row r="967">
      <c r="D967" s="64"/>
    </row>
    <row r="968">
      <c r="D968" s="64"/>
    </row>
    <row r="969">
      <c r="D969" s="64"/>
    </row>
    <row r="970">
      <c r="D970" s="64"/>
    </row>
    <row r="971">
      <c r="D971" s="64"/>
    </row>
    <row r="972">
      <c r="D972" s="64"/>
    </row>
    <row r="973">
      <c r="D973" s="64"/>
    </row>
    <row r="974">
      <c r="D974" s="64"/>
    </row>
    <row r="975">
      <c r="D975" s="64"/>
    </row>
    <row r="976">
      <c r="D976" s="64"/>
    </row>
    <row r="977">
      <c r="D977" s="64"/>
    </row>
    <row r="978">
      <c r="D978" s="64"/>
    </row>
    <row r="979">
      <c r="D979" s="64"/>
    </row>
    <row r="980">
      <c r="D980" s="64"/>
    </row>
    <row r="981">
      <c r="D981" s="64"/>
    </row>
    <row r="982">
      <c r="D982" s="64"/>
    </row>
    <row r="983">
      <c r="D983" s="64"/>
    </row>
    <row r="984">
      <c r="D984" s="64"/>
    </row>
    <row r="985">
      <c r="D985" s="64"/>
    </row>
    <row r="986">
      <c r="D986" s="64"/>
    </row>
    <row r="987">
      <c r="D987" s="64"/>
    </row>
    <row r="988">
      <c r="D988" s="64"/>
    </row>
    <row r="989">
      <c r="D989" s="64"/>
    </row>
    <row r="990">
      <c r="D990" s="64"/>
    </row>
  </sheetData>
  <mergeCells count="13">
    <mergeCell ref="B27:B28"/>
    <mergeCell ref="L27:L28"/>
    <mergeCell ref="A32:A33"/>
    <mergeCell ref="B32:B33"/>
    <mergeCell ref="L32:L33"/>
    <mergeCell ref="A34:D34"/>
    <mergeCell ref="A1:J1"/>
    <mergeCell ref="A10:D10"/>
    <mergeCell ref="A11:J11"/>
    <mergeCell ref="A18:D18"/>
    <mergeCell ref="A19:D19"/>
    <mergeCell ref="A21:J21"/>
    <mergeCell ref="A27:A28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3"/>
    <hyperlink r:id="rId9" ref="D14"/>
    <hyperlink r:id="rId10" ref="D15"/>
    <hyperlink r:id="rId11" ref="D16"/>
    <hyperlink r:id="rId12" ref="D17"/>
    <hyperlink r:id="rId13" ref="B23"/>
    <hyperlink r:id="rId14" ref="D23"/>
    <hyperlink r:id="rId15" ref="B24"/>
    <hyperlink r:id="rId16" ref="D24"/>
    <hyperlink r:id="rId17" ref="B25"/>
    <hyperlink r:id="rId18" ref="D25"/>
    <hyperlink r:id="rId19" ref="B26"/>
    <hyperlink r:id="rId20" ref="D26"/>
    <hyperlink r:id="rId21" ref="B27"/>
    <hyperlink r:id="rId22" ref="D27"/>
    <hyperlink r:id="rId23" ref="D28"/>
    <hyperlink r:id="rId24" ref="B29"/>
    <hyperlink r:id="rId25" ref="D29"/>
    <hyperlink r:id="rId26" ref="B30"/>
    <hyperlink r:id="rId27" ref="D30"/>
    <hyperlink r:id="rId28" ref="B31"/>
    <hyperlink r:id="rId29" ref="D31"/>
    <hyperlink r:id="rId30" ref="B32"/>
    <hyperlink r:id="rId31" ref="D32"/>
    <hyperlink r:id="rId32" ref="D33"/>
  </hyperlinks>
  <drawing r:id="rId33"/>
  <tableParts count="1"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7" t="s">
        <v>1</v>
      </c>
      <c r="B2" s="8" t="s">
        <v>2</v>
      </c>
      <c r="C2" s="8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>
      <c r="A3" s="11" t="s">
        <v>11</v>
      </c>
      <c r="B3" s="13">
        <v>56000.0</v>
      </c>
      <c r="C3" s="15" t="s">
        <v>13</v>
      </c>
      <c r="D3" s="17" t="s">
        <v>15</v>
      </c>
      <c r="E3" s="13">
        <v>7726.0</v>
      </c>
      <c r="F3" s="13">
        <v>338.0</v>
      </c>
      <c r="G3" s="13">
        <v>57.0</v>
      </c>
      <c r="H3" s="13">
        <v>6.0</v>
      </c>
      <c r="I3" s="13">
        <f t="shared" ref="I3:I4" si="1">F3+G3+H3</f>
        <v>401</v>
      </c>
      <c r="J3" s="21">
        <f t="shared" ref="J3:J4" si="2">I3/E3</f>
        <v>0.05190266632</v>
      </c>
    </row>
    <row r="4">
      <c r="A4" s="23" t="s">
        <v>19</v>
      </c>
      <c r="B4" s="24"/>
      <c r="C4" s="3"/>
      <c r="D4" s="25"/>
      <c r="E4" s="26">
        <v>7726.0</v>
      </c>
      <c r="F4" s="26">
        <v>338.0</v>
      </c>
      <c r="G4" s="26">
        <v>57.0</v>
      </c>
      <c r="H4" s="26">
        <v>6.0</v>
      </c>
      <c r="I4" s="26">
        <f t="shared" si="1"/>
        <v>401</v>
      </c>
      <c r="J4" s="27">
        <f t="shared" si="2"/>
        <v>0.05190266632</v>
      </c>
    </row>
    <row r="5">
      <c r="A5" s="28"/>
      <c r="B5" s="28"/>
      <c r="C5" s="28"/>
      <c r="D5" s="28"/>
      <c r="E5" s="29"/>
      <c r="F5" s="29"/>
      <c r="G5" s="29"/>
      <c r="H5" s="29"/>
      <c r="I5" s="29"/>
      <c r="J5" s="29"/>
    </row>
    <row r="6">
      <c r="A6" s="30" t="s">
        <v>24</v>
      </c>
      <c r="B6" s="31"/>
      <c r="C6" s="32"/>
      <c r="D6" s="31"/>
      <c r="E6" s="31"/>
      <c r="F6" s="32"/>
      <c r="G6" s="32"/>
      <c r="H6" s="32"/>
      <c r="I6" s="32"/>
      <c r="J6" s="33"/>
    </row>
    <row r="7">
      <c r="A7" s="7" t="s">
        <v>1</v>
      </c>
      <c r="B7" s="8" t="s">
        <v>2</v>
      </c>
      <c r="C7" s="8" t="s">
        <v>3</v>
      </c>
      <c r="D7" s="10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</row>
    <row r="8">
      <c r="A8" s="34" t="s">
        <v>28</v>
      </c>
      <c r="B8" s="35">
        <v>44000.0</v>
      </c>
      <c r="C8" s="36" t="s">
        <v>13</v>
      </c>
      <c r="D8" s="37" t="s">
        <v>29</v>
      </c>
      <c r="E8" s="35">
        <v>4822.0</v>
      </c>
      <c r="F8" s="13">
        <v>198.0</v>
      </c>
      <c r="G8" s="13">
        <v>45.0</v>
      </c>
      <c r="H8" s="13">
        <v>31.0</v>
      </c>
      <c r="I8" s="13">
        <f t="shared" ref="I8:I12" si="3">F8+G8+H8</f>
        <v>274</v>
      </c>
      <c r="J8" s="21">
        <f t="shared" ref="J8:J14" si="4">I8/E8</f>
        <v>0.05682289506</v>
      </c>
    </row>
    <row r="9">
      <c r="A9" s="38" t="s">
        <v>34</v>
      </c>
      <c r="B9" s="26">
        <v>20000.0</v>
      </c>
      <c r="C9" s="36" t="s">
        <v>13</v>
      </c>
      <c r="D9" s="39" t="s">
        <v>35</v>
      </c>
      <c r="E9" s="26">
        <v>4625.0</v>
      </c>
      <c r="F9" s="13">
        <v>144.0</v>
      </c>
      <c r="G9" s="13">
        <v>9.0</v>
      </c>
      <c r="H9" s="13">
        <v>15.0</v>
      </c>
      <c r="I9" s="13">
        <f t="shared" si="3"/>
        <v>168</v>
      </c>
      <c r="J9" s="21">
        <f t="shared" si="4"/>
        <v>0.03632432432</v>
      </c>
    </row>
    <row r="10">
      <c r="A10" s="34" t="s">
        <v>40</v>
      </c>
      <c r="B10" s="35">
        <v>47000.0</v>
      </c>
      <c r="C10" s="36" t="s">
        <v>13</v>
      </c>
      <c r="D10" s="37" t="s">
        <v>41</v>
      </c>
      <c r="E10" s="35">
        <v>5011.0</v>
      </c>
      <c r="F10" s="13">
        <v>158.0</v>
      </c>
      <c r="G10" s="13">
        <v>20.0</v>
      </c>
      <c r="H10" s="13">
        <v>44.0</v>
      </c>
      <c r="I10" s="13">
        <f t="shared" si="3"/>
        <v>222</v>
      </c>
      <c r="J10" s="21">
        <f t="shared" si="4"/>
        <v>0.04430253442</v>
      </c>
    </row>
    <row r="11">
      <c r="A11" s="38" t="s">
        <v>45</v>
      </c>
      <c r="B11" s="40">
        <v>7374.0</v>
      </c>
      <c r="C11" s="36" t="s">
        <v>13</v>
      </c>
      <c r="D11" s="39" t="s">
        <v>47</v>
      </c>
      <c r="E11" s="26">
        <v>2871.0</v>
      </c>
      <c r="F11" s="13">
        <v>90.0</v>
      </c>
      <c r="G11" s="13">
        <v>6.0</v>
      </c>
      <c r="H11" s="13">
        <v>9.0</v>
      </c>
      <c r="I11" s="13">
        <f t="shared" si="3"/>
        <v>105</v>
      </c>
      <c r="J11" s="21">
        <f t="shared" si="4"/>
        <v>0.03657262278</v>
      </c>
    </row>
    <row r="12">
      <c r="A12" s="34" t="s">
        <v>50</v>
      </c>
      <c r="B12" s="35">
        <v>29000.0</v>
      </c>
      <c r="C12" s="36" t="s">
        <v>13</v>
      </c>
      <c r="D12" s="37" t="s">
        <v>52</v>
      </c>
      <c r="E12" s="35">
        <v>3998.0</v>
      </c>
      <c r="F12" s="13">
        <v>109.0</v>
      </c>
      <c r="G12" s="13">
        <v>12.0</v>
      </c>
      <c r="H12" s="13">
        <v>24.0</v>
      </c>
      <c r="I12" s="13">
        <f t="shared" si="3"/>
        <v>145</v>
      </c>
      <c r="J12" s="21">
        <f t="shared" si="4"/>
        <v>0.03626813407</v>
      </c>
    </row>
    <row r="13">
      <c r="A13" s="23" t="s">
        <v>19</v>
      </c>
      <c r="B13" s="24"/>
      <c r="C13" s="3"/>
      <c r="D13" s="25"/>
      <c r="E13" s="26">
        <f t="shared" ref="E13:I13" si="5">SUM(E8:E12)</f>
        <v>21327</v>
      </c>
      <c r="F13" s="13">
        <f t="shared" si="5"/>
        <v>699</v>
      </c>
      <c r="G13" s="13">
        <f t="shared" si="5"/>
        <v>92</v>
      </c>
      <c r="H13" s="13">
        <f t="shared" si="5"/>
        <v>123</v>
      </c>
      <c r="I13" s="13">
        <f t="shared" si="5"/>
        <v>914</v>
      </c>
      <c r="J13" s="21">
        <f t="shared" si="4"/>
        <v>0.04285647302</v>
      </c>
    </row>
    <row r="14">
      <c r="A14" s="43" t="s">
        <v>54</v>
      </c>
      <c r="B14" s="45"/>
      <c r="C14" s="3"/>
      <c r="D14" s="46"/>
      <c r="E14" s="47">
        <f>D36+E13+E4+E24</f>
        <v>65963</v>
      </c>
      <c r="F14" s="47">
        <f>F4+F13+E36+F24</f>
        <v>2057</v>
      </c>
      <c r="G14" s="47">
        <f>F36+G13+G3+G24</f>
        <v>466</v>
      </c>
      <c r="H14" s="47">
        <f t="shared" ref="H14:I14" si="6">H4+H13+G36+H24</f>
        <v>213</v>
      </c>
      <c r="I14" s="47">
        <f t="shared" si="6"/>
        <v>2736</v>
      </c>
      <c r="J14" s="48">
        <f t="shared" si="4"/>
        <v>0.04147779816</v>
      </c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</row>
    <row r="16">
      <c r="A16" s="30" t="s">
        <v>55</v>
      </c>
      <c r="B16" s="31"/>
      <c r="C16" s="32"/>
      <c r="D16" s="31"/>
      <c r="E16" s="31"/>
      <c r="F16" s="32"/>
      <c r="G16" s="32"/>
      <c r="H16" s="32"/>
      <c r="I16" s="32"/>
      <c r="J16" s="33"/>
    </row>
    <row r="17">
      <c r="A17" s="7" t="s">
        <v>1</v>
      </c>
      <c r="B17" s="8" t="s">
        <v>2</v>
      </c>
      <c r="C17" s="8" t="s">
        <v>3</v>
      </c>
      <c r="D17" s="10" t="s">
        <v>4</v>
      </c>
      <c r="E17" s="8" t="s">
        <v>5</v>
      </c>
      <c r="F17" s="8" t="s">
        <v>6</v>
      </c>
      <c r="G17" s="8" t="s">
        <v>7</v>
      </c>
      <c r="H17" s="8" t="s">
        <v>8</v>
      </c>
      <c r="I17" s="8" t="s">
        <v>9</v>
      </c>
      <c r="J17" s="8" t="s">
        <v>10</v>
      </c>
    </row>
    <row r="18">
      <c r="A18" s="50" t="s">
        <v>61</v>
      </c>
      <c r="B18" s="35">
        <v>12000.0</v>
      </c>
      <c r="C18" s="36" t="s">
        <v>13</v>
      </c>
      <c r="D18" s="52" t="s">
        <v>62</v>
      </c>
      <c r="E18" s="35">
        <v>4729.0</v>
      </c>
      <c r="F18" s="13">
        <v>122.0</v>
      </c>
      <c r="G18" s="54">
        <v>19.0</v>
      </c>
      <c r="H18" s="54">
        <v>8.0</v>
      </c>
      <c r="I18" s="55">
        <f t="shared" ref="I18:I23" si="7">F18+G18+H18</f>
        <v>149</v>
      </c>
      <c r="J18" s="21">
        <f t="shared" ref="J18:J24" si="8">I18/E18</f>
        <v>0.03150771833</v>
      </c>
    </row>
    <row r="19">
      <c r="A19" s="56" t="s">
        <v>67</v>
      </c>
      <c r="B19" s="26">
        <v>37000.0</v>
      </c>
      <c r="C19" s="36" t="s">
        <v>13</v>
      </c>
      <c r="D19" s="57" t="s">
        <v>68</v>
      </c>
      <c r="E19" s="26">
        <v>8824.0</v>
      </c>
      <c r="F19" s="13">
        <v>307.0</v>
      </c>
      <c r="G19" s="54">
        <v>157.0</v>
      </c>
      <c r="H19" s="54">
        <v>6.0</v>
      </c>
      <c r="I19" s="55">
        <f t="shared" si="7"/>
        <v>470</v>
      </c>
      <c r="J19" s="21">
        <f t="shared" si="8"/>
        <v>0.05326382593</v>
      </c>
    </row>
    <row r="20">
      <c r="A20" s="50" t="s">
        <v>71</v>
      </c>
      <c r="B20" s="35">
        <v>55000.0</v>
      </c>
      <c r="C20" s="36" t="s">
        <v>13</v>
      </c>
      <c r="D20" s="52" t="s">
        <v>73</v>
      </c>
      <c r="E20" s="35">
        <v>3871.0</v>
      </c>
      <c r="F20" s="13">
        <v>114.0</v>
      </c>
      <c r="G20" s="54">
        <v>1.0</v>
      </c>
      <c r="H20" s="54">
        <v>6.0</v>
      </c>
      <c r="I20" s="55">
        <f t="shared" si="7"/>
        <v>121</v>
      </c>
      <c r="J20" s="21">
        <f t="shared" si="8"/>
        <v>0.03125807285</v>
      </c>
    </row>
    <row r="21">
      <c r="A21" s="56" t="s">
        <v>78</v>
      </c>
      <c r="B21" s="26">
        <v>11000.0</v>
      </c>
      <c r="C21" s="36" t="s">
        <v>13</v>
      </c>
      <c r="D21" s="57" t="s">
        <v>79</v>
      </c>
      <c r="E21" s="26">
        <v>6279.0</v>
      </c>
      <c r="F21" s="13">
        <v>171.0</v>
      </c>
      <c r="G21" s="54">
        <v>48.0</v>
      </c>
      <c r="H21" s="54">
        <v>21.0</v>
      </c>
      <c r="I21" s="55">
        <f t="shared" si="7"/>
        <v>240</v>
      </c>
      <c r="J21" s="21">
        <f t="shared" si="8"/>
        <v>0.03822264692</v>
      </c>
    </row>
    <row r="22">
      <c r="A22" s="50" t="s">
        <v>86</v>
      </c>
      <c r="B22" s="35">
        <v>16000.0</v>
      </c>
      <c r="C22" s="36" t="s">
        <v>13</v>
      </c>
      <c r="D22" s="52" t="s">
        <v>89</v>
      </c>
      <c r="E22" s="35">
        <v>5001.0</v>
      </c>
      <c r="F22" s="13">
        <v>118.0</v>
      </c>
      <c r="G22" s="54">
        <v>32.0</v>
      </c>
      <c r="H22" s="54">
        <v>27.0</v>
      </c>
      <c r="I22" s="55">
        <f t="shared" si="7"/>
        <v>177</v>
      </c>
      <c r="J22" s="21">
        <f t="shared" si="8"/>
        <v>0.03539292142</v>
      </c>
    </row>
    <row r="23">
      <c r="A23" s="56" t="s">
        <v>91</v>
      </c>
      <c r="B23" s="26">
        <v>8226.0</v>
      </c>
      <c r="C23" s="36" t="s">
        <v>13</v>
      </c>
      <c r="D23" s="57" t="s">
        <v>92</v>
      </c>
      <c r="E23" s="26">
        <v>3425.0</v>
      </c>
      <c r="F23" s="13">
        <v>106.0</v>
      </c>
      <c r="G23" s="54">
        <v>27.0</v>
      </c>
      <c r="H23" s="54">
        <v>8.0</v>
      </c>
      <c r="I23" s="55">
        <f t="shared" si="7"/>
        <v>141</v>
      </c>
      <c r="J23" s="21">
        <f t="shared" si="8"/>
        <v>0.04116788321</v>
      </c>
    </row>
    <row r="24">
      <c r="A24" s="23" t="s">
        <v>19</v>
      </c>
      <c r="B24" s="45"/>
      <c r="C24" s="3"/>
      <c r="D24" s="46"/>
      <c r="E24" s="65">
        <f t="shared" ref="E24:I24" si="9">SUM(E18:E23)</f>
        <v>32129</v>
      </c>
      <c r="F24" s="66">
        <f t="shared" si="9"/>
        <v>938</v>
      </c>
      <c r="G24" s="67">
        <f t="shared" si="9"/>
        <v>284</v>
      </c>
      <c r="H24" s="67">
        <f t="shared" si="9"/>
        <v>76</v>
      </c>
      <c r="I24" s="66">
        <f t="shared" si="9"/>
        <v>1298</v>
      </c>
      <c r="J24" s="21">
        <f t="shared" si="8"/>
        <v>0.04039963896</v>
      </c>
    </row>
    <row r="25">
      <c r="A25" s="68"/>
      <c r="B25" s="69"/>
      <c r="C25" s="49"/>
      <c r="D25" s="49"/>
      <c r="E25" s="49"/>
      <c r="F25" s="49"/>
      <c r="G25" s="49"/>
      <c r="H25" s="49"/>
      <c r="I25" s="49"/>
      <c r="J25" s="49"/>
    </row>
    <row r="26">
      <c r="A26" s="30" t="s">
        <v>94</v>
      </c>
      <c r="B26" s="32"/>
      <c r="C26" s="32"/>
      <c r="D26" s="32"/>
      <c r="E26" s="32"/>
      <c r="F26" s="32"/>
      <c r="G26" s="32"/>
      <c r="H26" s="32"/>
      <c r="I26" s="33"/>
      <c r="J26" s="70"/>
    </row>
    <row r="27">
      <c r="A27" s="7" t="s">
        <v>1</v>
      </c>
      <c r="B27" s="8" t="s">
        <v>3</v>
      </c>
      <c r="C27" s="10" t="s">
        <v>4</v>
      </c>
      <c r="D27" s="8" t="s">
        <v>5</v>
      </c>
      <c r="E27" s="8" t="s">
        <v>6</v>
      </c>
      <c r="F27" s="8" t="s">
        <v>7</v>
      </c>
      <c r="G27" s="8" t="s">
        <v>8</v>
      </c>
      <c r="H27" s="8" t="s">
        <v>9</v>
      </c>
      <c r="I27" s="71" t="s">
        <v>10</v>
      </c>
      <c r="J27" s="49"/>
    </row>
    <row r="28">
      <c r="A28" s="72" t="s">
        <v>101</v>
      </c>
      <c r="B28" s="72" t="s">
        <v>13</v>
      </c>
      <c r="C28" s="37" t="s">
        <v>102</v>
      </c>
      <c r="D28" s="35">
        <v>1187.0</v>
      </c>
      <c r="E28" s="54">
        <v>25.0</v>
      </c>
      <c r="F28" s="54">
        <v>13.0</v>
      </c>
      <c r="G28" s="54">
        <v>6.0</v>
      </c>
      <c r="H28" s="74">
        <f t="shared" ref="H28:H35" si="10">E28+F28+G28</f>
        <v>44</v>
      </c>
      <c r="I28" s="21">
        <f t="shared" ref="I28:I36" si="11">H28/D28</f>
        <v>0.03706823926</v>
      </c>
      <c r="J28" s="49"/>
    </row>
    <row r="29">
      <c r="A29" s="76" t="s">
        <v>110</v>
      </c>
      <c r="B29" s="76" t="s">
        <v>13</v>
      </c>
      <c r="C29" s="39" t="s">
        <v>113</v>
      </c>
      <c r="D29" s="26">
        <v>526.0</v>
      </c>
      <c r="E29" s="54">
        <v>2.0</v>
      </c>
      <c r="F29" s="54">
        <v>2.0</v>
      </c>
      <c r="G29" s="54">
        <v>1.0</v>
      </c>
      <c r="H29" s="74">
        <f t="shared" si="10"/>
        <v>5</v>
      </c>
      <c r="I29" s="21">
        <f t="shared" si="11"/>
        <v>0.009505703422</v>
      </c>
      <c r="J29" s="49"/>
    </row>
    <row r="30">
      <c r="A30" s="72" t="s">
        <v>117</v>
      </c>
      <c r="B30" s="72" t="s">
        <v>13</v>
      </c>
      <c r="C30" s="37" t="s">
        <v>119</v>
      </c>
      <c r="D30" s="35">
        <v>336.0</v>
      </c>
      <c r="E30" s="54">
        <v>4.0</v>
      </c>
      <c r="F30" s="54">
        <v>1.0</v>
      </c>
      <c r="G30" s="54">
        <v>0.0</v>
      </c>
      <c r="H30" s="74">
        <f t="shared" si="10"/>
        <v>5</v>
      </c>
      <c r="I30" s="21">
        <f t="shared" si="11"/>
        <v>0.01488095238</v>
      </c>
      <c r="J30" s="49"/>
    </row>
    <row r="31">
      <c r="A31" s="76" t="s">
        <v>124</v>
      </c>
      <c r="B31" s="76" t="s">
        <v>13</v>
      </c>
      <c r="C31" s="39" t="s">
        <v>125</v>
      </c>
      <c r="D31" s="26">
        <v>828.0</v>
      </c>
      <c r="E31" s="54">
        <v>13.0</v>
      </c>
      <c r="F31" s="54">
        <v>4.0</v>
      </c>
      <c r="G31" s="54">
        <v>0.0</v>
      </c>
      <c r="H31" s="74">
        <f t="shared" si="10"/>
        <v>17</v>
      </c>
      <c r="I31" s="21">
        <f t="shared" si="11"/>
        <v>0.02053140097</v>
      </c>
      <c r="J31" s="49"/>
    </row>
    <row r="32">
      <c r="A32" s="72" t="s">
        <v>130</v>
      </c>
      <c r="B32" s="72" t="s">
        <v>13</v>
      </c>
      <c r="C32" s="37" t="s">
        <v>131</v>
      </c>
      <c r="D32" s="35">
        <v>452.0</v>
      </c>
      <c r="E32" s="54">
        <v>6.0</v>
      </c>
      <c r="F32" s="54">
        <v>0.0</v>
      </c>
      <c r="G32" s="54">
        <v>0.0</v>
      </c>
      <c r="H32" s="74">
        <f t="shared" si="10"/>
        <v>6</v>
      </c>
      <c r="I32" s="21">
        <f t="shared" si="11"/>
        <v>0.01327433628</v>
      </c>
      <c r="J32" s="49"/>
    </row>
    <row r="33">
      <c r="A33" s="76" t="s">
        <v>133</v>
      </c>
      <c r="B33" s="76" t="s">
        <v>13</v>
      </c>
      <c r="C33" s="39" t="s">
        <v>134</v>
      </c>
      <c r="D33" s="26">
        <v>271.0</v>
      </c>
      <c r="E33" s="54">
        <v>4.0</v>
      </c>
      <c r="F33" s="54">
        <v>0.0</v>
      </c>
      <c r="G33" s="54">
        <v>0.0</v>
      </c>
      <c r="H33" s="74">
        <f t="shared" si="10"/>
        <v>4</v>
      </c>
      <c r="I33" s="21">
        <f t="shared" si="11"/>
        <v>0.0147601476</v>
      </c>
      <c r="J33" s="49"/>
    </row>
    <row r="34">
      <c r="A34" s="72" t="s">
        <v>136</v>
      </c>
      <c r="B34" s="72" t="s">
        <v>13</v>
      </c>
      <c r="C34" s="37" t="s">
        <v>137</v>
      </c>
      <c r="D34" s="35">
        <v>304.0</v>
      </c>
      <c r="E34" s="54">
        <v>8.0</v>
      </c>
      <c r="F34" s="54">
        <v>3.0</v>
      </c>
      <c r="G34" s="54">
        <v>1.0</v>
      </c>
      <c r="H34" s="74">
        <f t="shared" si="10"/>
        <v>12</v>
      </c>
      <c r="I34" s="21">
        <f t="shared" si="11"/>
        <v>0.03947368421</v>
      </c>
      <c r="J34" s="49"/>
    </row>
    <row r="35">
      <c r="A35" s="76" t="s">
        <v>103</v>
      </c>
      <c r="B35" s="76" t="s">
        <v>13</v>
      </c>
      <c r="C35" s="39" t="s">
        <v>139</v>
      </c>
      <c r="D35" s="26">
        <v>877.0</v>
      </c>
      <c r="E35" s="54">
        <v>20.0</v>
      </c>
      <c r="F35" s="54">
        <v>10.0</v>
      </c>
      <c r="G35" s="54">
        <v>0.0</v>
      </c>
      <c r="H35" s="74">
        <f t="shared" si="10"/>
        <v>30</v>
      </c>
      <c r="I35" s="21">
        <f t="shared" si="11"/>
        <v>0.03420752566</v>
      </c>
      <c r="J35" s="49"/>
    </row>
    <row r="36">
      <c r="A36" s="83" t="s">
        <v>19</v>
      </c>
      <c r="B36" s="45"/>
      <c r="C36" s="46"/>
      <c r="D36" s="35">
        <f t="shared" ref="D36:H36" si="12">SUM(D28:D35)</f>
        <v>4781</v>
      </c>
      <c r="E36" s="84">
        <f t="shared" si="12"/>
        <v>82</v>
      </c>
      <c r="F36" s="84">
        <f t="shared" si="12"/>
        <v>33</v>
      </c>
      <c r="G36" s="84">
        <f t="shared" si="12"/>
        <v>8</v>
      </c>
      <c r="H36" s="84">
        <f t="shared" si="12"/>
        <v>123</v>
      </c>
      <c r="I36" s="21">
        <f t="shared" si="11"/>
        <v>0.02572683539</v>
      </c>
      <c r="J36" s="85"/>
    </row>
  </sheetData>
  <mergeCells count="9">
    <mergeCell ref="A24:D24"/>
    <mergeCell ref="A36:C36"/>
    <mergeCell ref="A1:J1"/>
    <mergeCell ref="A4:D4"/>
    <mergeCell ref="A6:J6"/>
    <mergeCell ref="A13:D13"/>
    <mergeCell ref="A14:D14"/>
    <mergeCell ref="A16:J16"/>
    <mergeCell ref="A26:I26"/>
  </mergeCells>
  <hyperlinks>
    <hyperlink r:id="rId1" ref="D3"/>
    <hyperlink r:id="rId2" ref="D8"/>
    <hyperlink r:id="rId3" ref="D9"/>
    <hyperlink r:id="rId4" ref="D10"/>
    <hyperlink r:id="rId5" ref="D11"/>
    <hyperlink r:id="rId6" ref="D12"/>
    <hyperlink r:id="rId7" ref="D18"/>
    <hyperlink r:id="rId8" ref="D19"/>
    <hyperlink r:id="rId9" ref="D20"/>
    <hyperlink r:id="rId10" ref="D21"/>
    <hyperlink r:id="rId11" ref="D22"/>
    <hyperlink r:id="rId12" ref="D23"/>
    <hyperlink r:id="rId13" ref="C28"/>
    <hyperlink r:id="rId14" ref="C29"/>
    <hyperlink r:id="rId15" ref="C30"/>
    <hyperlink r:id="rId16" ref="C31"/>
    <hyperlink r:id="rId17" ref="C32"/>
    <hyperlink r:id="rId18" ref="C33"/>
    <hyperlink r:id="rId19" ref="C34"/>
    <hyperlink r:id="rId20" ref="C35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  <col customWidth="1" min="10" max="10" width="13.88"/>
  </cols>
  <sheetData>
    <row r="1">
      <c r="A1" s="103" t="s">
        <v>0</v>
      </c>
      <c r="B1" s="3"/>
      <c r="C1" s="3"/>
      <c r="D1" s="3"/>
      <c r="E1" s="3"/>
      <c r="F1" s="3"/>
      <c r="G1" s="3"/>
      <c r="H1" s="3"/>
      <c r="I1" s="3"/>
      <c r="J1" s="5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105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106" t="s">
        <v>176</v>
      </c>
      <c r="B3" s="107" t="s">
        <v>177</v>
      </c>
      <c r="C3" s="108" t="s">
        <v>14</v>
      </c>
      <c r="D3" s="109" t="s">
        <v>178</v>
      </c>
      <c r="E3" s="110">
        <v>2950.0</v>
      </c>
      <c r="F3" s="111">
        <v>244.0</v>
      </c>
      <c r="G3" s="111">
        <v>24.0</v>
      </c>
      <c r="H3" s="111">
        <v>20.0</v>
      </c>
      <c r="I3" s="112">
        <f t="shared" ref="I3:I4" si="1">F3+G3+H3</f>
        <v>288</v>
      </c>
      <c r="J3" s="113">
        <f t="shared" ref="J3:J5" si="2">I3/E3</f>
        <v>0.09762711864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106" t="s">
        <v>176</v>
      </c>
      <c r="B4" s="107" t="s">
        <v>177</v>
      </c>
      <c r="C4" s="108" t="s">
        <v>14</v>
      </c>
      <c r="D4" s="114" t="s">
        <v>179</v>
      </c>
      <c r="E4" s="110">
        <v>11908.0</v>
      </c>
      <c r="F4" s="110">
        <v>806.0</v>
      </c>
      <c r="G4" s="110">
        <v>332.0</v>
      </c>
      <c r="H4" s="110">
        <v>35.0</v>
      </c>
      <c r="I4" s="110">
        <f t="shared" si="1"/>
        <v>1173</v>
      </c>
      <c r="J4" s="113">
        <f t="shared" si="2"/>
        <v>0.09850520658</v>
      </c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115" t="s">
        <v>19</v>
      </c>
      <c r="B5" s="3"/>
      <c r="C5" s="3"/>
      <c r="D5" s="5"/>
      <c r="E5" s="116">
        <f t="shared" ref="E5:I5" si="3">SUM(E3:E4)</f>
        <v>14858</v>
      </c>
      <c r="F5" s="116">
        <f t="shared" si="3"/>
        <v>1050</v>
      </c>
      <c r="G5" s="116">
        <f t="shared" si="3"/>
        <v>356</v>
      </c>
      <c r="H5" s="116">
        <f t="shared" si="3"/>
        <v>55</v>
      </c>
      <c r="I5" s="116">
        <f t="shared" si="3"/>
        <v>1461</v>
      </c>
      <c r="J5" s="117">
        <f t="shared" si="2"/>
        <v>0.09833086553</v>
      </c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30" t="s">
        <v>24</v>
      </c>
      <c r="B7" s="31"/>
      <c r="C7" s="32"/>
      <c r="D7" s="31"/>
      <c r="E7" s="31"/>
      <c r="F7" s="32"/>
      <c r="G7" s="32"/>
      <c r="H7" s="32"/>
      <c r="I7" s="32"/>
      <c r="J7" s="33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7" t="s">
        <v>1</v>
      </c>
      <c r="B8" s="8" t="s">
        <v>2</v>
      </c>
      <c r="C8" s="8" t="s">
        <v>3</v>
      </c>
      <c r="D8" s="10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72" t="s">
        <v>180</v>
      </c>
      <c r="B9" s="118" t="s">
        <v>181</v>
      </c>
      <c r="C9" s="15" t="s">
        <v>13</v>
      </c>
      <c r="D9" s="119" t="s">
        <v>182</v>
      </c>
      <c r="E9" s="120">
        <v>17713.0</v>
      </c>
      <c r="F9" s="110">
        <v>1345.0</v>
      </c>
      <c r="G9" s="110">
        <v>271.0</v>
      </c>
      <c r="H9" s="110">
        <v>38.0</v>
      </c>
      <c r="I9" s="110">
        <f t="shared" ref="I9:I15" si="4">F9+G9+H9</f>
        <v>1654</v>
      </c>
      <c r="J9" s="113">
        <f t="shared" ref="J9:J16" si="5">I9/E9</f>
        <v>0.09337774516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76" t="s">
        <v>183</v>
      </c>
      <c r="B10" s="40" t="s">
        <v>184</v>
      </c>
      <c r="C10" s="15" t="s">
        <v>13</v>
      </c>
      <c r="D10" s="121" t="s">
        <v>185</v>
      </c>
      <c r="E10" s="110">
        <v>2079.0</v>
      </c>
      <c r="F10" s="110">
        <v>147.0</v>
      </c>
      <c r="G10" s="110">
        <v>24.0</v>
      </c>
      <c r="H10" s="110">
        <v>8.0</v>
      </c>
      <c r="I10" s="110">
        <f t="shared" si="4"/>
        <v>179</v>
      </c>
      <c r="J10" s="113">
        <f t="shared" si="5"/>
        <v>0.0860990861</v>
      </c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72" t="s">
        <v>183</v>
      </c>
      <c r="B11" s="118" t="s">
        <v>184</v>
      </c>
      <c r="C11" s="15" t="s">
        <v>13</v>
      </c>
      <c r="D11" s="114" t="s">
        <v>186</v>
      </c>
      <c r="E11" s="110">
        <v>1227.0</v>
      </c>
      <c r="F11" s="110">
        <v>136.0</v>
      </c>
      <c r="G11" s="110">
        <v>55.0</v>
      </c>
      <c r="H11" s="110">
        <v>4.0</v>
      </c>
      <c r="I11" s="110">
        <f t="shared" si="4"/>
        <v>195</v>
      </c>
      <c r="J11" s="113">
        <f t="shared" si="5"/>
        <v>0.1589242054</v>
      </c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76" t="s">
        <v>187</v>
      </c>
      <c r="B12" s="40" t="s">
        <v>188</v>
      </c>
      <c r="C12" s="15" t="s">
        <v>13</v>
      </c>
      <c r="D12" s="121" t="s">
        <v>189</v>
      </c>
      <c r="E12" s="110">
        <v>2339.0</v>
      </c>
      <c r="F12" s="110">
        <v>173.0</v>
      </c>
      <c r="G12" s="110">
        <v>126.0</v>
      </c>
      <c r="H12" s="110">
        <v>37.0</v>
      </c>
      <c r="I12" s="110">
        <f t="shared" si="4"/>
        <v>336</v>
      </c>
      <c r="J12" s="113">
        <f t="shared" si="5"/>
        <v>0.143651133</v>
      </c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72" t="s">
        <v>187</v>
      </c>
      <c r="B13" s="118" t="s">
        <v>188</v>
      </c>
      <c r="C13" s="15" t="s">
        <v>13</v>
      </c>
      <c r="D13" s="121" t="s">
        <v>190</v>
      </c>
      <c r="E13" s="110">
        <v>3613.0</v>
      </c>
      <c r="F13" s="110">
        <v>265.0</v>
      </c>
      <c r="G13" s="110">
        <v>108.0</v>
      </c>
      <c r="H13" s="110">
        <v>27.0</v>
      </c>
      <c r="I13" s="110">
        <f t="shared" si="4"/>
        <v>400</v>
      </c>
      <c r="J13" s="113">
        <f t="shared" si="5"/>
        <v>0.1107113202</v>
      </c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76" t="s">
        <v>192</v>
      </c>
      <c r="B14" s="26" t="s">
        <v>194</v>
      </c>
      <c r="C14" s="15" t="s">
        <v>13</v>
      </c>
      <c r="D14" s="114" t="s">
        <v>195</v>
      </c>
      <c r="E14" s="110">
        <v>4245.0</v>
      </c>
      <c r="F14" s="110">
        <v>212.0</v>
      </c>
      <c r="G14" s="110">
        <v>113.0</v>
      </c>
      <c r="H14" s="110">
        <v>21.0</v>
      </c>
      <c r="I14" s="110">
        <f t="shared" si="4"/>
        <v>346</v>
      </c>
      <c r="J14" s="113">
        <f t="shared" si="5"/>
        <v>0.08150765607</v>
      </c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34" t="s">
        <v>38</v>
      </c>
      <c r="B15" s="35">
        <v>9256.0</v>
      </c>
      <c r="C15" s="15" t="s">
        <v>14</v>
      </c>
      <c r="D15" s="114" t="s">
        <v>197</v>
      </c>
      <c r="E15" s="111">
        <v>2496.0</v>
      </c>
      <c r="F15" s="111">
        <v>114.0</v>
      </c>
      <c r="G15" s="111">
        <v>14.0</v>
      </c>
      <c r="H15" s="111">
        <v>11.0</v>
      </c>
      <c r="I15" s="110">
        <f t="shared" si="4"/>
        <v>139</v>
      </c>
      <c r="J15" s="113">
        <f t="shared" si="5"/>
        <v>0.05568910256</v>
      </c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27" t="s">
        <v>19</v>
      </c>
      <c r="B16" s="24"/>
      <c r="C16" s="3"/>
      <c r="D16" s="5"/>
      <c r="E16" s="116">
        <f t="shared" ref="E16:I16" si="6">SUM(E9:E15)</f>
        <v>33712</v>
      </c>
      <c r="F16" s="116">
        <f t="shared" si="6"/>
        <v>2392</v>
      </c>
      <c r="G16" s="116">
        <f t="shared" si="6"/>
        <v>711</v>
      </c>
      <c r="H16" s="116">
        <f t="shared" si="6"/>
        <v>146</v>
      </c>
      <c r="I16" s="116">
        <f t="shared" si="6"/>
        <v>3249</v>
      </c>
      <c r="J16" s="130">
        <f t="shared" si="5"/>
        <v>0.09637517798</v>
      </c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30" t="s">
        <v>55</v>
      </c>
      <c r="B18" s="31"/>
      <c r="C18" s="32"/>
      <c r="D18" s="31"/>
      <c r="E18" s="31"/>
      <c r="F18" s="32"/>
      <c r="G18" s="32"/>
      <c r="H18" s="32"/>
      <c r="I18" s="32"/>
      <c r="J18" s="33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7" t="s">
        <v>1</v>
      </c>
      <c r="B19" s="8" t="s">
        <v>2</v>
      </c>
      <c r="C19" s="8" t="s">
        <v>3</v>
      </c>
      <c r="D19" s="10" t="s">
        <v>4</v>
      </c>
      <c r="E19" s="8" t="s">
        <v>5</v>
      </c>
      <c r="F19" s="8" t="s">
        <v>6</v>
      </c>
      <c r="G19" s="8" t="s">
        <v>7</v>
      </c>
      <c r="H19" s="8" t="s">
        <v>8</v>
      </c>
      <c r="I19" s="8" t="s">
        <v>9</v>
      </c>
      <c r="J19" s="8" t="s">
        <v>10</v>
      </c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72" t="s">
        <v>198</v>
      </c>
      <c r="B20" s="34" t="s">
        <v>199</v>
      </c>
      <c r="C20" s="15" t="s">
        <v>13</v>
      </c>
      <c r="D20" s="134" t="s">
        <v>200</v>
      </c>
      <c r="E20" s="120">
        <v>5285.0</v>
      </c>
      <c r="F20" s="110">
        <v>273.0</v>
      </c>
      <c r="G20" s="110">
        <v>60.0</v>
      </c>
      <c r="H20" s="110">
        <v>75.0</v>
      </c>
      <c r="I20" s="110">
        <f t="shared" ref="I20:I38" si="7">F20+G20+H20</f>
        <v>408</v>
      </c>
      <c r="J20" s="113">
        <f t="shared" ref="J20:J39" si="8">I20/E20</f>
        <v>0.07719962157</v>
      </c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76" t="s">
        <v>198</v>
      </c>
      <c r="B21" s="38" t="s">
        <v>199</v>
      </c>
      <c r="C21" s="111" t="s">
        <v>13</v>
      </c>
      <c r="D21" s="137" t="s">
        <v>203</v>
      </c>
      <c r="E21" s="138">
        <v>8853.0</v>
      </c>
      <c r="F21" s="110">
        <v>237.0</v>
      </c>
      <c r="G21" s="110">
        <v>44.0</v>
      </c>
      <c r="H21" s="110">
        <v>52.0</v>
      </c>
      <c r="I21" s="110">
        <f t="shared" si="7"/>
        <v>333</v>
      </c>
      <c r="J21" s="113">
        <f t="shared" si="8"/>
        <v>0.03761436801</v>
      </c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72" t="s">
        <v>198</v>
      </c>
      <c r="B22" s="34" t="s">
        <v>199</v>
      </c>
      <c r="C22" s="111" t="s">
        <v>13</v>
      </c>
      <c r="D22" s="119" t="s">
        <v>206</v>
      </c>
      <c r="E22" s="120">
        <v>4622.0</v>
      </c>
      <c r="F22" s="110">
        <v>117.0</v>
      </c>
      <c r="G22" s="110">
        <v>28.0</v>
      </c>
      <c r="H22" s="110">
        <v>36.0</v>
      </c>
      <c r="I22" s="110">
        <f t="shared" si="7"/>
        <v>181</v>
      </c>
      <c r="J22" s="113">
        <f t="shared" si="8"/>
        <v>0.03916053656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>
      <c r="A23" s="76" t="s">
        <v>209</v>
      </c>
      <c r="B23" s="38" t="s">
        <v>210</v>
      </c>
      <c r="C23" s="111" t="s">
        <v>13</v>
      </c>
      <c r="D23" s="121" t="s">
        <v>211</v>
      </c>
      <c r="E23" s="110">
        <v>5668.0</v>
      </c>
      <c r="F23" s="110">
        <v>286.0</v>
      </c>
      <c r="G23" s="110">
        <v>43.0</v>
      </c>
      <c r="H23" s="110">
        <v>54.0</v>
      </c>
      <c r="I23" s="110">
        <f t="shared" si="7"/>
        <v>383</v>
      </c>
      <c r="J23" s="113">
        <f t="shared" si="8"/>
        <v>0.06757233592</v>
      </c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>
      <c r="A24" s="72" t="s">
        <v>209</v>
      </c>
      <c r="B24" s="34" t="s">
        <v>210</v>
      </c>
      <c r="C24" s="111" t="s">
        <v>13</v>
      </c>
      <c r="D24" s="114" t="s">
        <v>214</v>
      </c>
      <c r="E24" s="110">
        <v>2762.0</v>
      </c>
      <c r="F24" s="110">
        <v>56.0</v>
      </c>
      <c r="G24" s="110">
        <v>10.0</v>
      </c>
      <c r="H24" s="110">
        <v>10.0</v>
      </c>
      <c r="I24" s="110">
        <f t="shared" si="7"/>
        <v>76</v>
      </c>
      <c r="J24" s="113">
        <f t="shared" si="8"/>
        <v>0.02751629254</v>
      </c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76" t="s">
        <v>209</v>
      </c>
      <c r="B25" s="38" t="s">
        <v>210</v>
      </c>
      <c r="C25" s="111" t="s">
        <v>14</v>
      </c>
      <c r="D25" s="114" t="s">
        <v>216</v>
      </c>
      <c r="E25" s="110">
        <v>531.0</v>
      </c>
      <c r="F25" s="110">
        <v>32.0</v>
      </c>
      <c r="G25" s="110">
        <v>5.0</v>
      </c>
      <c r="H25" s="110">
        <v>2.0</v>
      </c>
      <c r="I25" s="110">
        <f t="shared" si="7"/>
        <v>39</v>
      </c>
      <c r="J25" s="113">
        <f t="shared" si="8"/>
        <v>0.07344632768</v>
      </c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72" t="s">
        <v>209</v>
      </c>
      <c r="B26" s="34" t="s">
        <v>210</v>
      </c>
      <c r="C26" s="111" t="s">
        <v>14</v>
      </c>
      <c r="D26" s="114" t="s">
        <v>219</v>
      </c>
      <c r="E26" s="110">
        <v>844.0</v>
      </c>
      <c r="F26" s="110">
        <v>77.0</v>
      </c>
      <c r="G26" s="110">
        <v>14.0</v>
      </c>
      <c r="H26" s="110">
        <v>0.0</v>
      </c>
      <c r="I26" s="110">
        <f t="shared" si="7"/>
        <v>91</v>
      </c>
      <c r="J26" s="113">
        <f t="shared" si="8"/>
        <v>0.1078199052</v>
      </c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38" t="s">
        <v>220</v>
      </c>
      <c r="B27" s="38" t="s">
        <v>221</v>
      </c>
      <c r="C27" s="111" t="s">
        <v>13</v>
      </c>
      <c r="D27" s="121" t="s">
        <v>222</v>
      </c>
      <c r="E27" s="110">
        <v>1860.0</v>
      </c>
      <c r="F27" s="110">
        <v>85.0</v>
      </c>
      <c r="G27" s="110">
        <v>12.0</v>
      </c>
      <c r="H27" s="110">
        <v>7.0</v>
      </c>
      <c r="I27" s="110">
        <f t="shared" si="7"/>
        <v>104</v>
      </c>
      <c r="J27" s="113">
        <f t="shared" si="8"/>
        <v>0.05591397849</v>
      </c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141" t="s">
        <v>81</v>
      </c>
      <c r="B28" s="141" t="s">
        <v>184</v>
      </c>
      <c r="C28" s="111" t="s">
        <v>13</v>
      </c>
      <c r="D28" s="114" t="s">
        <v>224</v>
      </c>
      <c r="E28" s="110">
        <v>8956.0</v>
      </c>
      <c r="F28" s="110">
        <v>470.0</v>
      </c>
      <c r="G28" s="110">
        <v>50.0</v>
      </c>
      <c r="H28" s="110">
        <v>40.0</v>
      </c>
      <c r="I28" s="110">
        <f t="shared" si="7"/>
        <v>560</v>
      </c>
      <c r="J28" s="113">
        <f t="shared" si="8"/>
        <v>0.06252791425</v>
      </c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>
      <c r="A29" s="38" t="s">
        <v>220</v>
      </c>
      <c r="B29" s="38" t="s">
        <v>221</v>
      </c>
      <c r="C29" s="111" t="s">
        <v>14</v>
      </c>
      <c r="D29" s="114" t="s">
        <v>225</v>
      </c>
      <c r="E29" s="111">
        <v>2720.0</v>
      </c>
      <c r="F29" s="111">
        <v>109.0</v>
      </c>
      <c r="G29" s="111">
        <v>17.0</v>
      </c>
      <c r="H29" s="111">
        <v>10.0</v>
      </c>
      <c r="I29" s="112">
        <f t="shared" si="7"/>
        <v>136</v>
      </c>
      <c r="J29" s="113">
        <f t="shared" si="8"/>
        <v>0.05</v>
      </c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34" t="s">
        <v>228</v>
      </c>
      <c r="B30" s="141" t="s">
        <v>221</v>
      </c>
      <c r="C30" s="111" t="s">
        <v>14</v>
      </c>
      <c r="D30" s="114" t="s">
        <v>229</v>
      </c>
      <c r="E30" s="110">
        <v>1765.0</v>
      </c>
      <c r="F30" s="110">
        <v>205.0</v>
      </c>
      <c r="G30" s="110">
        <v>52.0</v>
      </c>
      <c r="H30" s="110">
        <v>12.0</v>
      </c>
      <c r="I30" s="110">
        <f t="shared" si="7"/>
        <v>269</v>
      </c>
      <c r="J30" s="113">
        <f t="shared" si="8"/>
        <v>0.152407932</v>
      </c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38" t="s">
        <v>231</v>
      </c>
      <c r="B31" s="145" t="s">
        <v>221</v>
      </c>
      <c r="C31" s="111" t="s">
        <v>14</v>
      </c>
      <c r="D31" s="114" t="s">
        <v>234</v>
      </c>
      <c r="E31" s="110">
        <v>1143.0</v>
      </c>
      <c r="F31" s="110">
        <v>138.0</v>
      </c>
      <c r="G31" s="110">
        <v>38.0</v>
      </c>
      <c r="H31" s="110">
        <v>4.0</v>
      </c>
      <c r="I31" s="110">
        <f t="shared" si="7"/>
        <v>180</v>
      </c>
      <c r="J31" s="148">
        <f t="shared" si="8"/>
        <v>0.157480315</v>
      </c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>
      <c r="A32" s="72" t="s">
        <v>237</v>
      </c>
      <c r="B32" s="72">
        <v>6631.0</v>
      </c>
      <c r="C32" s="111" t="s">
        <v>14</v>
      </c>
      <c r="D32" s="114" t="s">
        <v>238</v>
      </c>
      <c r="E32" s="110">
        <v>1171.0</v>
      </c>
      <c r="F32" s="110">
        <v>109.0</v>
      </c>
      <c r="G32" s="110">
        <v>16.0</v>
      </c>
      <c r="H32" s="110">
        <v>10.0</v>
      </c>
      <c r="I32" s="110">
        <f t="shared" si="7"/>
        <v>135</v>
      </c>
      <c r="J32" s="113">
        <f t="shared" si="8"/>
        <v>0.1152860803</v>
      </c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>
      <c r="A33" s="76" t="s">
        <v>240</v>
      </c>
      <c r="B33" s="76">
        <v>8887.0</v>
      </c>
      <c r="C33" s="111" t="s">
        <v>14</v>
      </c>
      <c r="D33" s="114" t="s">
        <v>241</v>
      </c>
      <c r="E33" s="110">
        <v>761.0</v>
      </c>
      <c r="F33" s="110">
        <v>76.0</v>
      </c>
      <c r="G33" s="110">
        <v>9.0</v>
      </c>
      <c r="H33" s="110">
        <v>3.0</v>
      </c>
      <c r="I33" s="110">
        <f t="shared" si="7"/>
        <v>88</v>
      </c>
      <c r="J33" s="113">
        <f t="shared" si="8"/>
        <v>0.1156373193</v>
      </c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72" t="s">
        <v>240</v>
      </c>
      <c r="B34" s="72">
        <v>8887.0</v>
      </c>
      <c r="C34" s="111" t="s">
        <v>14</v>
      </c>
      <c r="D34" s="114" t="s">
        <v>243</v>
      </c>
      <c r="E34" s="110">
        <v>1393.0</v>
      </c>
      <c r="F34" s="110">
        <v>128.0</v>
      </c>
      <c r="G34" s="110">
        <v>15.0</v>
      </c>
      <c r="H34" s="110">
        <v>4.0</v>
      </c>
      <c r="I34" s="110">
        <f t="shared" si="7"/>
        <v>147</v>
      </c>
      <c r="J34" s="113">
        <f t="shared" si="8"/>
        <v>0.1055276382</v>
      </c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38" t="s">
        <v>244</v>
      </c>
      <c r="B35" s="38">
        <v>3642.0</v>
      </c>
      <c r="C35" s="111" t="s">
        <v>13</v>
      </c>
      <c r="D35" s="114" t="s">
        <v>245</v>
      </c>
      <c r="E35" s="110">
        <v>2509.0</v>
      </c>
      <c r="F35" s="110">
        <v>200.0</v>
      </c>
      <c r="G35" s="110">
        <v>105.0</v>
      </c>
      <c r="H35" s="110">
        <v>52.0</v>
      </c>
      <c r="I35" s="110">
        <f t="shared" si="7"/>
        <v>357</v>
      </c>
      <c r="J35" s="113">
        <f t="shared" si="8"/>
        <v>0.142287764</v>
      </c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>
      <c r="A36" s="34" t="s">
        <v>250</v>
      </c>
      <c r="B36" s="34">
        <v>9722.0</v>
      </c>
      <c r="C36" s="111" t="s">
        <v>14</v>
      </c>
      <c r="D36" s="114" t="s">
        <v>251</v>
      </c>
      <c r="E36" s="110">
        <v>1994.0</v>
      </c>
      <c r="F36" s="110">
        <v>111.0</v>
      </c>
      <c r="G36" s="110">
        <v>19.0</v>
      </c>
      <c r="H36" s="110">
        <v>7.0</v>
      </c>
      <c r="I36" s="110">
        <f t="shared" si="7"/>
        <v>137</v>
      </c>
      <c r="J36" s="113">
        <f t="shared" si="8"/>
        <v>0.06870611836</v>
      </c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>
      <c r="A37" s="76" t="s">
        <v>253</v>
      </c>
      <c r="B37" s="153" t="s">
        <v>254</v>
      </c>
      <c r="C37" s="111" t="s">
        <v>14</v>
      </c>
      <c r="D37" s="114" t="s">
        <v>255</v>
      </c>
      <c r="E37" s="110">
        <v>8865.0</v>
      </c>
      <c r="F37" s="110">
        <v>629.0</v>
      </c>
      <c r="G37" s="110">
        <v>95.0</v>
      </c>
      <c r="H37" s="110">
        <v>43.0</v>
      </c>
      <c r="I37" s="154">
        <f t="shared" si="7"/>
        <v>767</v>
      </c>
      <c r="J37" s="113">
        <f t="shared" si="8"/>
        <v>0.08652002256</v>
      </c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>
      <c r="A38" s="72" t="s">
        <v>253</v>
      </c>
      <c r="B38" s="152" t="s">
        <v>254</v>
      </c>
      <c r="C38" s="111" t="s">
        <v>13</v>
      </c>
      <c r="D38" s="114" t="s">
        <v>259</v>
      </c>
      <c r="E38" s="154">
        <v>12999.0</v>
      </c>
      <c r="F38" s="110">
        <v>432.0</v>
      </c>
      <c r="G38" s="110">
        <v>138.0</v>
      </c>
      <c r="H38" s="110">
        <v>55.0</v>
      </c>
      <c r="I38" s="110">
        <f t="shared" si="7"/>
        <v>625</v>
      </c>
      <c r="J38" s="113">
        <f t="shared" si="8"/>
        <v>0.04808062159</v>
      </c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>
      <c r="A39" s="115" t="s">
        <v>19</v>
      </c>
      <c r="B39" s="24"/>
      <c r="C39" s="3"/>
      <c r="D39" s="5"/>
      <c r="E39" s="116">
        <f t="shared" ref="E39:I39" si="9">SUM(E19:E38)</f>
        <v>74701</v>
      </c>
      <c r="F39" s="116">
        <f t="shared" si="9"/>
        <v>3770</v>
      </c>
      <c r="G39" s="116">
        <f t="shared" si="9"/>
        <v>770</v>
      </c>
      <c r="H39" s="116">
        <f t="shared" si="9"/>
        <v>476</v>
      </c>
      <c r="I39" s="116">
        <f t="shared" si="9"/>
        <v>5016</v>
      </c>
      <c r="J39" s="130">
        <f t="shared" si="8"/>
        <v>0.06714769548</v>
      </c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</sheetData>
  <mergeCells count="6">
    <mergeCell ref="A1:J1"/>
    <mergeCell ref="A5:D5"/>
    <mergeCell ref="A7:J7"/>
    <mergeCell ref="A16:D16"/>
    <mergeCell ref="A18:J18"/>
    <mergeCell ref="A39:D39"/>
  </mergeCells>
  <hyperlinks>
    <hyperlink r:id="rId1" ref="D3"/>
    <hyperlink r:id="rId2" ref="D4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20"/>
    <hyperlink r:id="rId11" ref="D21"/>
    <hyperlink r:id="rId12" ref="D22"/>
    <hyperlink r:id="rId13" ref="D23"/>
    <hyperlink r:id="rId14" ref="D24"/>
    <hyperlink r:id="rId15" ref="D25"/>
    <hyperlink r:id="rId16" ref="D26"/>
    <hyperlink r:id="rId17" ref="D27"/>
    <hyperlink r:id="rId18" ref="D28"/>
    <hyperlink r:id="rId19" ref="D29"/>
    <hyperlink r:id="rId20" ref="D30"/>
    <hyperlink r:id="rId21" ref="D31"/>
    <hyperlink r:id="rId22" ref="D32"/>
    <hyperlink r:id="rId23" ref="D33"/>
    <hyperlink r:id="rId24" ref="D34"/>
    <hyperlink r:id="rId25" ref="D35"/>
    <hyperlink r:id="rId26" ref="D36"/>
    <hyperlink r:id="rId27" ref="D37"/>
    <hyperlink r:id="rId28" ref="D38"/>
  </hyperlinks>
  <drawing r:id="rId29"/>
  <tableParts count="2">
    <tablePart r:id="rId32"/>
    <tablePart r:id="rId3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88"/>
    <col customWidth="1" min="10" max="10" width="13.75"/>
    <col customWidth="1" min="11" max="11" width="14.25"/>
  </cols>
  <sheetData>
    <row r="1">
      <c r="A1" s="30" t="s">
        <v>24</v>
      </c>
      <c r="B1" s="31"/>
      <c r="C1" s="31"/>
      <c r="D1" s="32"/>
      <c r="E1" s="31"/>
      <c r="F1" s="31"/>
      <c r="G1" s="32"/>
      <c r="H1" s="32"/>
      <c r="I1" s="32"/>
      <c r="J1" s="32"/>
      <c r="K1" s="33"/>
    </row>
    <row r="2">
      <c r="A2" s="7" t="s">
        <v>1</v>
      </c>
      <c r="B2" s="8" t="s">
        <v>2</v>
      </c>
      <c r="C2" s="7" t="s">
        <v>142</v>
      </c>
      <c r="D2" s="10" t="s">
        <v>3</v>
      </c>
      <c r="E2" s="122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</row>
    <row r="3">
      <c r="A3" s="123" t="s">
        <v>191</v>
      </c>
      <c r="B3" s="124">
        <v>21000.0</v>
      </c>
      <c r="C3" s="125" t="s">
        <v>193</v>
      </c>
      <c r="D3" s="106" t="s">
        <v>14</v>
      </c>
      <c r="E3" s="126" t="s">
        <v>196</v>
      </c>
      <c r="F3" s="128">
        <v>3530.0</v>
      </c>
      <c r="G3" s="129">
        <v>174.0</v>
      </c>
      <c r="H3" s="129">
        <v>17.0</v>
      </c>
      <c r="I3" s="129">
        <v>17.0</v>
      </c>
      <c r="J3" s="129">
        <f t="shared" ref="J3:J15" si="1">G3+H3+I3</f>
        <v>208</v>
      </c>
      <c r="K3" s="131">
        <f t="shared" ref="K3:K16" si="2">J3/F3</f>
        <v>0.05892351275</v>
      </c>
    </row>
    <row r="4">
      <c r="A4" s="132"/>
      <c r="B4" s="132"/>
      <c r="C4" s="133" t="s">
        <v>201</v>
      </c>
      <c r="D4" s="108" t="s">
        <v>14</v>
      </c>
      <c r="E4" s="135" t="s">
        <v>202</v>
      </c>
      <c r="F4" s="136">
        <v>1814.0</v>
      </c>
      <c r="G4" s="129">
        <v>124.0</v>
      </c>
      <c r="H4" s="129">
        <v>38.0</v>
      </c>
      <c r="I4" s="129">
        <v>3.0</v>
      </c>
      <c r="J4" s="129">
        <f t="shared" si="1"/>
        <v>165</v>
      </c>
      <c r="K4" s="131">
        <f t="shared" si="2"/>
        <v>0.09095920617</v>
      </c>
    </row>
    <row r="5">
      <c r="A5" s="72" t="s">
        <v>204</v>
      </c>
      <c r="B5" s="35">
        <v>20000.0</v>
      </c>
      <c r="C5" s="125" t="s">
        <v>193</v>
      </c>
      <c r="D5" s="106" t="s">
        <v>14</v>
      </c>
      <c r="E5" s="126" t="s">
        <v>205</v>
      </c>
      <c r="F5" s="128">
        <v>2415.0</v>
      </c>
      <c r="G5" s="129">
        <v>240.0</v>
      </c>
      <c r="H5" s="129">
        <v>140.0</v>
      </c>
      <c r="I5" s="129">
        <v>16.0</v>
      </c>
      <c r="J5" s="129">
        <f t="shared" si="1"/>
        <v>396</v>
      </c>
      <c r="K5" s="131">
        <f t="shared" si="2"/>
        <v>0.1639751553</v>
      </c>
    </row>
    <row r="6">
      <c r="A6" s="76" t="s">
        <v>207</v>
      </c>
      <c r="B6" s="26">
        <v>16000.0</v>
      </c>
      <c r="C6" s="133" t="s">
        <v>193</v>
      </c>
      <c r="D6" s="106" t="s">
        <v>14</v>
      </c>
      <c r="E6" s="139" t="s">
        <v>208</v>
      </c>
      <c r="F6" s="136">
        <v>2481.0</v>
      </c>
      <c r="G6" s="129">
        <v>123.0</v>
      </c>
      <c r="H6" s="129">
        <v>21.0</v>
      </c>
      <c r="I6" s="129">
        <v>9.0</v>
      </c>
      <c r="J6" s="129">
        <f t="shared" si="1"/>
        <v>153</v>
      </c>
      <c r="K6" s="131">
        <f t="shared" si="2"/>
        <v>0.06166868198</v>
      </c>
    </row>
    <row r="7">
      <c r="A7" s="123" t="s">
        <v>212</v>
      </c>
      <c r="B7" s="124">
        <v>15000.0</v>
      </c>
      <c r="C7" s="125" t="s">
        <v>193</v>
      </c>
      <c r="D7" s="106" t="s">
        <v>14</v>
      </c>
      <c r="E7" s="126" t="s">
        <v>213</v>
      </c>
      <c r="F7" s="128">
        <v>2325.0</v>
      </c>
      <c r="G7" s="129">
        <v>123.0</v>
      </c>
      <c r="H7" s="129">
        <v>18.0</v>
      </c>
      <c r="I7" s="129">
        <v>5.0</v>
      </c>
      <c r="J7" s="129">
        <f t="shared" si="1"/>
        <v>146</v>
      </c>
      <c r="K7" s="131">
        <f t="shared" si="2"/>
        <v>0.06279569892</v>
      </c>
    </row>
    <row r="8">
      <c r="A8" s="132"/>
      <c r="B8" s="132"/>
      <c r="C8" s="133" t="s">
        <v>201</v>
      </c>
      <c r="D8" s="106" t="s">
        <v>14</v>
      </c>
      <c r="E8" s="135" t="s">
        <v>215</v>
      </c>
      <c r="F8" s="136">
        <v>5900.0</v>
      </c>
      <c r="G8" s="129">
        <v>70.0</v>
      </c>
      <c r="H8" s="129">
        <v>38.0</v>
      </c>
      <c r="I8" s="129">
        <v>11.0</v>
      </c>
      <c r="J8" s="129">
        <f t="shared" si="1"/>
        <v>119</v>
      </c>
      <c r="K8" s="131">
        <f t="shared" si="2"/>
        <v>0.02016949153</v>
      </c>
    </row>
    <row r="9">
      <c r="A9" s="123" t="s">
        <v>217</v>
      </c>
      <c r="B9" s="124">
        <v>13000.0</v>
      </c>
      <c r="C9" s="125" t="s">
        <v>193</v>
      </c>
      <c r="D9" s="106" t="s">
        <v>14</v>
      </c>
      <c r="E9" s="126" t="s">
        <v>218</v>
      </c>
      <c r="F9" s="128">
        <v>1817.0</v>
      </c>
      <c r="G9" s="129">
        <v>106.0</v>
      </c>
      <c r="H9" s="129">
        <v>50.0</v>
      </c>
      <c r="I9" s="129">
        <v>5.0</v>
      </c>
      <c r="J9" s="129">
        <f t="shared" si="1"/>
        <v>161</v>
      </c>
      <c r="K9" s="131">
        <f t="shared" si="2"/>
        <v>0.08860759494</v>
      </c>
    </row>
    <row r="10">
      <c r="A10" s="140"/>
      <c r="B10" s="140"/>
      <c r="C10" s="133" t="s">
        <v>201</v>
      </c>
      <c r="D10" s="106" t="s">
        <v>14</v>
      </c>
      <c r="E10" s="135" t="s">
        <v>223</v>
      </c>
      <c r="F10" s="142">
        <v>56000.0</v>
      </c>
      <c r="G10" s="129">
        <v>1461.0</v>
      </c>
      <c r="H10" s="129">
        <v>344.0</v>
      </c>
      <c r="I10" s="129">
        <v>80.0</v>
      </c>
      <c r="J10" s="129">
        <f t="shared" si="1"/>
        <v>1885</v>
      </c>
      <c r="K10" s="131">
        <f t="shared" si="2"/>
        <v>0.03366071429</v>
      </c>
    </row>
    <row r="11">
      <c r="A11" s="143"/>
      <c r="B11" s="143"/>
      <c r="C11" s="125" t="s">
        <v>226</v>
      </c>
      <c r="D11" s="106" t="s">
        <v>14</v>
      </c>
      <c r="E11" s="144" t="s">
        <v>227</v>
      </c>
      <c r="F11" s="128">
        <v>8828.0</v>
      </c>
      <c r="G11" s="129">
        <v>214.0</v>
      </c>
      <c r="H11" s="129">
        <v>24.0</v>
      </c>
      <c r="I11" s="129">
        <v>6.0</v>
      </c>
      <c r="J11" s="129">
        <f t="shared" si="1"/>
        <v>244</v>
      </c>
      <c r="K11" s="131">
        <f t="shared" si="2"/>
        <v>0.02763932941</v>
      </c>
    </row>
    <row r="12">
      <c r="A12" s="76" t="s">
        <v>233</v>
      </c>
      <c r="B12" s="26">
        <v>13000.0</v>
      </c>
      <c r="C12" s="133" t="s">
        <v>193</v>
      </c>
      <c r="D12" s="106" t="s">
        <v>14</v>
      </c>
      <c r="E12" s="139" t="s">
        <v>236</v>
      </c>
      <c r="F12" s="136">
        <v>2295.0</v>
      </c>
      <c r="G12" s="129">
        <v>265.0</v>
      </c>
      <c r="H12" s="129">
        <v>26.0</v>
      </c>
      <c r="I12" s="129">
        <v>21.0</v>
      </c>
      <c r="J12" s="129">
        <f t="shared" si="1"/>
        <v>312</v>
      </c>
      <c r="K12" s="131">
        <f t="shared" si="2"/>
        <v>0.1359477124</v>
      </c>
    </row>
    <row r="13">
      <c r="A13" s="123" t="s">
        <v>239</v>
      </c>
      <c r="B13" s="150">
        <v>9114.0</v>
      </c>
      <c r="C13" s="125" t="s">
        <v>193</v>
      </c>
      <c r="D13" s="106" t="s">
        <v>14</v>
      </c>
      <c r="E13" s="126" t="s">
        <v>242</v>
      </c>
      <c r="F13" s="128">
        <v>1782.0</v>
      </c>
      <c r="G13" s="129">
        <v>191.0</v>
      </c>
      <c r="H13" s="129">
        <v>64.0</v>
      </c>
      <c r="I13" s="129">
        <v>58.0</v>
      </c>
      <c r="J13" s="129">
        <f t="shared" si="1"/>
        <v>313</v>
      </c>
      <c r="K13" s="151">
        <f t="shared" si="2"/>
        <v>0.1756453423</v>
      </c>
    </row>
    <row r="14">
      <c r="A14" s="140"/>
      <c r="B14" s="140"/>
      <c r="C14" s="133" t="s">
        <v>201</v>
      </c>
      <c r="D14" s="106" t="s">
        <v>14</v>
      </c>
      <c r="E14" s="135" t="s">
        <v>246</v>
      </c>
      <c r="F14" s="136">
        <v>5164.0</v>
      </c>
      <c r="G14" s="129">
        <v>141.0</v>
      </c>
      <c r="H14" s="129">
        <v>11.0</v>
      </c>
      <c r="I14" s="129">
        <v>8.0</v>
      </c>
      <c r="J14" s="129">
        <f t="shared" si="1"/>
        <v>160</v>
      </c>
      <c r="K14" s="131">
        <f t="shared" si="2"/>
        <v>0.03098373354</v>
      </c>
    </row>
    <row r="15">
      <c r="A15" s="143"/>
      <c r="B15" s="143"/>
      <c r="C15" s="125" t="s">
        <v>226</v>
      </c>
      <c r="D15" s="106" t="s">
        <v>14</v>
      </c>
      <c r="E15" s="144" t="s">
        <v>252</v>
      </c>
      <c r="F15" s="128">
        <v>2574.0</v>
      </c>
      <c r="G15" s="129">
        <v>51.0</v>
      </c>
      <c r="H15" s="129">
        <v>13.0</v>
      </c>
      <c r="I15" s="129">
        <v>3.0</v>
      </c>
      <c r="J15" s="129">
        <f t="shared" si="1"/>
        <v>67</v>
      </c>
      <c r="K15" s="131">
        <f t="shared" si="2"/>
        <v>0.02602952603</v>
      </c>
    </row>
    <row r="16">
      <c r="A16" s="127" t="s">
        <v>19</v>
      </c>
      <c r="B16" s="24"/>
      <c r="C16" s="24"/>
      <c r="D16" s="3"/>
      <c r="E16" s="25"/>
      <c r="F16" s="155">
        <f t="shared" ref="F16:J16" si="3">SUM(F2:F15)</f>
        <v>96925</v>
      </c>
      <c r="G16" s="155">
        <f t="shared" si="3"/>
        <v>3283</v>
      </c>
      <c r="H16" s="155">
        <f t="shared" si="3"/>
        <v>804</v>
      </c>
      <c r="I16" s="155">
        <f t="shared" si="3"/>
        <v>242</v>
      </c>
      <c r="J16" s="155">
        <f t="shared" si="3"/>
        <v>4329</v>
      </c>
      <c r="K16" s="156">
        <f t="shared" si="2"/>
        <v>0.04466339954</v>
      </c>
    </row>
    <row r="17">
      <c r="A17" s="157"/>
      <c r="B17" s="157"/>
      <c r="C17" s="157"/>
      <c r="D17" s="157"/>
      <c r="E17" s="158" t="s">
        <v>262</v>
      </c>
      <c r="F17" s="159">
        <f>IFERROR(__xludf.DUMMYFUNCTION("SUM(F3:F15)/COUNTUNIQUE(A3:A15)"),13846.42857142857)</f>
        <v>13846.42857</v>
      </c>
      <c r="G17" s="157"/>
      <c r="H17" s="157"/>
      <c r="I17" s="157"/>
      <c r="J17" s="160">
        <f>IFERROR(__xludf.DUMMYFUNCTION("SUM(J3:J15)/COUNTUNIQUE(A3:A15)"),618.4285714285714)</f>
        <v>618.4285714</v>
      </c>
      <c r="K17" s="157"/>
    </row>
    <row r="18">
      <c r="A18" s="161"/>
      <c r="B18" s="161"/>
      <c r="C18" s="157"/>
      <c r="D18" s="157"/>
      <c r="E18" s="161"/>
      <c r="F18" s="161"/>
      <c r="G18" s="157"/>
      <c r="H18" s="157"/>
      <c r="I18" s="157"/>
      <c r="J18" s="157"/>
      <c r="K18" s="157"/>
    </row>
    <row r="19">
      <c r="A19" s="30" t="s">
        <v>55</v>
      </c>
      <c r="B19" s="162"/>
      <c r="C19" s="32"/>
      <c r="D19" s="32"/>
      <c r="E19" s="162"/>
      <c r="F19" s="162"/>
      <c r="G19" s="32"/>
      <c r="H19" s="32"/>
      <c r="I19" s="32"/>
      <c r="J19" s="32"/>
      <c r="K19" s="33"/>
    </row>
    <row r="20">
      <c r="A20" s="7" t="s">
        <v>1</v>
      </c>
      <c r="B20" s="8" t="s">
        <v>2</v>
      </c>
      <c r="C20" s="10"/>
      <c r="D20" s="10" t="s">
        <v>3</v>
      </c>
      <c r="E20" s="10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8" t="s">
        <v>9</v>
      </c>
      <c r="K20" s="8" t="s">
        <v>10</v>
      </c>
    </row>
    <row r="21">
      <c r="A21" s="38" t="s">
        <v>267</v>
      </c>
      <c r="B21" s="26">
        <v>2678.0</v>
      </c>
      <c r="C21" s="106"/>
      <c r="D21" s="106" t="s">
        <v>14</v>
      </c>
      <c r="E21" s="135" t="s">
        <v>268</v>
      </c>
      <c r="F21" s="136">
        <v>1640.0</v>
      </c>
      <c r="G21" s="129">
        <v>103.0</v>
      </c>
      <c r="H21" s="129">
        <v>7.0</v>
      </c>
      <c r="I21" s="129">
        <v>0.0</v>
      </c>
      <c r="J21" s="129">
        <f t="shared" ref="J21:J26" si="4">G21+H21+I21</f>
        <v>110</v>
      </c>
      <c r="K21" s="131">
        <f t="shared" ref="K21:K27" si="5">J21/F21</f>
        <v>0.06707317073</v>
      </c>
    </row>
    <row r="22">
      <c r="A22" s="72" t="s">
        <v>272</v>
      </c>
      <c r="B22" s="35">
        <v>3672.0</v>
      </c>
      <c r="C22" s="106"/>
      <c r="D22" s="106" t="s">
        <v>14</v>
      </c>
      <c r="E22" s="126" t="s">
        <v>273</v>
      </c>
      <c r="F22" s="128">
        <v>2146.0</v>
      </c>
      <c r="G22" s="129">
        <v>80.0</v>
      </c>
      <c r="H22" s="129">
        <v>14.0</v>
      </c>
      <c r="I22" s="129">
        <v>7.0</v>
      </c>
      <c r="J22" s="129">
        <f t="shared" si="4"/>
        <v>101</v>
      </c>
      <c r="K22" s="131">
        <f t="shared" si="5"/>
        <v>0.04706430568</v>
      </c>
    </row>
    <row r="23">
      <c r="A23" s="76" t="s">
        <v>277</v>
      </c>
      <c r="B23" s="26">
        <v>5973.0</v>
      </c>
      <c r="C23" s="106"/>
      <c r="D23" s="106" t="s">
        <v>14</v>
      </c>
      <c r="E23" s="139" t="s">
        <v>278</v>
      </c>
      <c r="F23" s="136">
        <v>1990.0</v>
      </c>
      <c r="G23" s="129">
        <v>112.0</v>
      </c>
      <c r="H23" s="129">
        <v>21.0</v>
      </c>
      <c r="I23" s="129">
        <v>14.0</v>
      </c>
      <c r="J23" s="129">
        <f t="shared" si="4"/>
        <v>147</v>
      </c>
      <c r="K23" s="131">
        <f t="shared" si="5"/>
        <v>0.07386934673</v>
      </c>
    </row>
    <row r="24">
      <c r="A24" s="72" t="s">
        <v>281</v>
      </c>
      <c r="B24" s="35">
        <v>6902.0</v>
      </c>
      <c r="C24" s="106"/>
      <c r="D24" s="106" t="s">
        <v>14</v>
      </c>
      <c r="E24" s="126" t="s">
        <v>282</v>
      </c>
      <c r="F24" s="128">
        <v>1719.0</v>
      </c>
      <c r="G24" s="129">
        <v>114.0</v>
      </c>
      <c r="H24" s="129">
        <v>44.0</v>
      </c>
      <c r="I24" s="129">
        <v>4.0</v>
      </c>
      <c r="J24" s="129">
        <f t="shared" si="4"/>
        <v>162</v>
      </c>
      <c r="K24" s="131">
        <f t="shared" si="5"/>
        <v>0.0942408377</v>
      </c>
    </row>
    <row r="25">
      <c r="A25" s="76" t="s">
        <v>81</v>
      </c>
      <c r="B25" s="26">
        <v>22000.0</v>
      </c>
      <c r="C25" s="106"/>
      <c r="D25" s="106" t="s">
        <v>14</v>
      </c>
      <c r="E25" s="139" t="s">
        <v>283</v>
      </c>
      <c r="F25" s="142">
        <v>3973.0</v>
      </c>
      <c r="G25" s="129">
        <v>265.0</v>
      </c>
      <c r="H25" s="129">
        <v>32.0</v>
      </c>
      <c r="I25" s="129">
        <v>11.0</v>
      </c>
      <c r="J25" s="142">
        <f t="shared" si="4"/>
        <v>308</v>
      </c>
      <c r="K25" s="131">
        <f t="shared" si="5"/>
        <v>0.07752328215</v>
      </c>
    </row>
    <row r="26">
      <c r="A26" s="72" t="s">
        <v>285</v>
      </c>
      <c r="B26" s="35">
        <v>2948.0</v>
      </c>
      <c r="C26" s="106"/>
      <c r="D26" s="106" t="s">
        <v>14</v>
      </c>
      <c r="E26" s="126" t="s">
        <v>286</v>
      </c>
      <c r="F26" s="128">
        <v>1826.0</v>
      </c>
      <c r="G26" s="129">
        <v>128.0</v>
      </c>
      <c r="H26" s="129">
        <v>60.0</v>
      </c>
      <c r="I26" s="129">
        <v>5.0</v>
      </c>
      <c r="J26" s="129">
        <f t="shared" si="4"/>
        <v>193</v>
      </c>
      <c r="K26" s="151">
        <f t="shared" si="5"/>
        <v>0.1056955093</v>
      </c>
    </row>
    <row r="27">
      <c r="A27" s="127" t="s">
        <v>19</v>
      </c>
      <c r="B27" s="24"/>
      <c r="C27" s="3"/>
      <c r="D27" s="3"/>
      <c r="E27" s="25"/>
      <c r="F27" s="155">
        <f t="shared" ref="F27:J27" si="6">SUM(F20:F26)</f>
        <v>13294</v>
      </c>
      <c r="G27" s="155">
        <f t="shared" si="6"/>
        <v>802</v>
      </c>
      <c r="H27" s="155">
        <f t="shared" si="6"/>
        <v>178</v>
      </c>
      <c r="I27" s="155">
        <f t="shared" si="6"/>
        <v>41</v>
      </c>
      <c r="J27" s="155">
        <f t="shared" si="6"/>
        <v>1021</v>
      </c>
      <c r="K27" s="156">
        <f t="shared" si="5"/>
        <v>0.07680156462</v>
      </c>
    </row>
    <row r="28">
      <c r="A28" s="157"/>
      <c r="C28" s="174"/>
      <c r="D28" s="174"/>
      <c r="E28" s="175" t="s">
        <v>262</v>
      </c>
      <c r="F28" s="176">
        <f>IFERROR(__xludf.DUMMYFUNCTION("SUM(F21:F26)/COUNTUNIQUE(A21:A26)"),2215.6666666666665)</f>
        <v>2215.666667</v>
      </c>
      <c r="J28" s="160">
        <f>IFERROR(__xludf.DUMMYFUNCTION("SUM(J21:J26)/COUNTUNIQUE(A21:A26)"),170.16666666666666)</f>
        <v>170.1666667</v>
      </c>
    </row>
    <row r="29">
      <c r="A29" s="157"/>
      <c r="C29" s="174"/>
      <c r="D29" s="174"/>
      <c r="E29" s="64"/>
    </row>
    <row r="30">
      <c r="A30" s="157"/>
      <c r="C30" s="174"/>
      <c r="D30" s="174"/>
      <c r="E30" s="64"/>
    </row>
    <row r="31">
      <c r="A31" s="157"/>
      <c r="C31" s="174"/>
      <c r="D31" s="174"/>
      <c r="E31" s="64"/>
    </row>
    <row r="32">
      <c r="A32" s="157"/>
      <c r="C32" s="174"/>
      <c r="D32" s="174"/>
      <c r="E32" s="64"/>
    </row>
    <row r="33">
      <c r="A33" s="157"/>
      <c r="C33" s="174"/>
      <c r="D33" s="174"/>
      <c r="E33" s="64"/>
    </row>
    <row r="34">
      <c r="A34" s="157"/>
      <c r="C34" s="174"/>
      <c r="D34" s="174"/>
      <c r="E34" s="64"/>
    </row>
    <row r="35">
      <c r="A35" s="157"/>
      <c r="C35" s="174"/>
      <c r="D35" s="174"/>
      <c r="E35" s="64"/>
    </row>
    <row r="36">
      <c r="A36" s="157"/>
      <c r="C36" s="174"/>
      <c r="D36" s="174"/>
      <c r="E36" s="64"/>
    </row>
    <row r="37">
      <c r="A37" s="157"/>
      <c r="C37" s="174"/>
      <c r="D37" s="174"/>
      <c r="E37" s="64"/>
    </row>
    <row r="38">
      <c r="A38" s="157"/>
      <c r="C38" s="174"/>
      <c r="D38" s="174"/>
      <c r="E38" s="64"/>
    </row>
    <row r="39">
      <c r="A39" s="157"/>
      <c r="C39" s="174"/>
      <c r="D39" s="174"/>
      <c r="E39" s="64"/>
    </row>
    <row r="40">
      <c r="A40" s="157"/>
      <c r="C40" s="174"/>
      <c r="D40" s="174"/>
      <c r="E40" s="64"/>
    </row>
    <row r="41">
      <c r="A41" s="157"/>
      <c r="C41" s="174"/>
      <c r="D41" s="174"/>
      <c r="E41" s="64"/>
    </row>
    <row r="42">
      <c r="A42" s="157"/>
      <c r="C42" s="174"/>
      <c r="D42" s="174"/>
      <c r="E42" s="64"/>
    </row>
    <row r="43">
      <c r="A43" s="157"/>
      <c r="C43" s="174"/>
      <c r="D43" s="174"/>
      <c r="E43" s="64"/>
    </row>
    <row r="44">
      <c r="A44" s="157"/>
      <c r="C44" s="174"/>
      <c r="D44" s="174"/>
      <c r="E44" s="64"/>
    </row>
    <row r="45">
      <c r="A45" s="157"/>
      <c r="C45" s="174"/>
      <c r="D45" s="174"/>
      <c r="E45" s="64"/>
    </row>
    <row r="46">
      <c r="A46" s="157"/>
      <c r="C46" s="174"/>
      <c r="D46" s="174"/>
      <c r="E46" s="64"/>
    </row>
    <row r="47">
      <c r="A47" s="157"/>
      <c r="C47" s="174"/>
      <c r="D47" s="174"/>
      <c r="E47" s="64"/>
    </row>
    <row r="48">
      <c r="A48" s="157"/>
      <c r="C48" s="174"/>
      <c r="D48" s="174"/>
      <c r="E48" s="64"/>
    </row>
    <row r="49">
      <c r="A49" s="157"/>
      <c r="C49" s="174"/>
      <c r="D49" s="174"/>
      <c r="E49" s="64"/>
    </row>
    <row r="50">
      <c r="A50" s="157"/>
      <c r="C50" s="174"/>
      <c r="D50" s="174"/>
      <c r="E50" s="64"/>
    </row>
    <row r="51">
      <c r="A51" s="157"/>
      <c r="C51" s="174"/>
      <c r="D51" s="174"/>
      <c r="E51" s="64"/>
    </row>
    <row r="52">
      <c r="A52" s="157"/>
      <c r="C52" s="174"/>
      <c r="D52" s="174"/>
      <c r="E52" s="64"/>
    </row>
    <row r="53">
      <c r="A53" s="157"/>
      <c r="C53" s="174"/>
      <c r="D53" s="174"/>
      <c r="E53" s="64"/>
    </row>
    <row r="54">
      <c r="A54" s="157"/>
      <c r="C54" s="174"/>
      <c r="D54" s="174"/>
      <c r="E54" s="64"/>
    </row>
    <row r="55">
      <c r="A55" s="157"/>
      <c r="C55" s="174"/>
      <c r="D55" s="174"/>
      <c r="E55" s="64"/>
    </row>
    <row r="56">
      <c r="A56" s="157"/>
      <c r="C56" s="174"/>
      <c r="D56" s="174"/>
      <c r="E56" s="64"/>
    </row>
    <row r="57">
      <c r="A57" s="157"/>
      <c r="C57" s="174"/>
      <c r="D57" s="174"/>
      <c r="E57" s="64"/>
    </row>
    <row r="58">
      <c r="A58" s="157"/>
      <c r="C58" s="174"/>
      <c r="D58" s="174"/>
      <c r="E58" s="64"/>
    </row>
    <row r="59">
      <c r="A59" s="157"/>
      <c r="C59" s="174"/>
      <c r="D59" s="174"/>
      <c r="E59" s="64"/>
    </row>
    <row r="60">
      <c r="A60" s="157"/>
      <c r="C60" s="174"/>
      <c r="D60" s="174"/>
      <c r="E60" s="64"/>
    </row>
    <row r="61">
      <c r="A61" s="157"/>
      <c r="C61" s="174"/>
      <c r="D61" s="174"/>
      <c r="E61" s="64"/>
    </row>
    <row r="62">
      <c r="A62" s="157"/>
      <c r="C62" s="174"/>
      <c r="D62" s="174"/>
      <c r="E62" s="64"/>
    </row>
    <row r="63">
      <c r="A63" s="157"/>
      <c r="C63" s="174"/>
      <c r="D63" s="174"/>
      <c r="E63" s="64"/>
    </row>
    <row r="64">
      <c r="A64" s="157"/>
      <c r="C64" s="174"/>
      <c r="D64" s="174"/>
      <c r="E64" s="64"/>
    </row>
    <row r="65">
      <c r="A65" s="157"/>
      <c r="C65" s="174"/>
      <c r="D65" s="174"/>
      <c r="E65" s="64"/>
    </row>
    <row r="66">
      <c r="A66" s="157"/>
      <c r="C66" s="174"/>
      <c r="D66" s="174"/>
      <c r="E66" s="64"/>
    </row>
    <row r="67">
      <c r="A67" s="157"/>
      <c r="C67" s="174"/>
      <c r="D67" s="174"/>
      <c r="E67" s="64"/>
    </row>
    <row r="68">
      <c r="A68" s="157"/>
      <c r="C68" s="174"/>
      <c r="D68" s="174"/>
      <c r="E68" s="64"/>
    </row>
    <row r="69">
      <c r="A69" s="157"/>
      <c r="C69" s="174"/>
      <c r="D69" s="174"/>
      <c r="E69" s="64"/>
    </row>
    <row r="70">
      <c r="A70" s="157"/>
      <c r="C70" s="174"/>
      <c r="D70" s="174"/>
      <c r="E70" s="64"/>
    </row>
    <row r="71">
      <c r="A71" s="157"/>
      <c r="C71" s="174"/>
      <c r="D71" s="174"/>
      <c r="E71" s="64"/>
    </row>
    <row r="72">
      <c r="A72" s="157"/>
      <c r="C72" s="174"/>
      <c r="D72" s="174"/>
      <c r="E72" s="64"/>
    </row>
    <row r="73">
      <c r="A73" s="157"/>
      <c r="C73" s="174"/>
      <c r="D73" s="174"/>
      <c r="E73" s="64"/>
    </row>
    <row r="74">
      <c r="A74" s="157"/>
      <c r="C74" s="174"/>
      <c r="D74" s="174"/>
      <c r="E74" s="64"/>
    </row>
    <row r="75">
      <c r="A75" s="157"/>
      <c r="C75" s="174"/>
      <c r="D75" s="174"/>
      <c r="E75" s="64"/>
    </row>
    <row r="76">
      <c r="A76" s="157"/>
      <c r="C76" s="174"/>
      <c r="D76" s="174"/>
      <c r="E76" s="64"/>
    </row>
    <row r="77">
      <c r="A77" s="157"/>
      <c r="C77" s="174"/>
      <c r="D77" s="174"/>
      <c r="E77" s="64"/>
    </row>
    <row r="78">
      <c r="A78" s="157"/>
      <c r="C78" s="174"/>
      <c r="D78" s="174"/>
      <c r="E78" s="64"/>
    </row>
    <row r="79">
      <c r="A79" s="157"/>
      <c r="C79" s="174"/>
      <c r="D79" s="174"/>
      <c r="E79" s="64"/>
    </row>
    <row r="80">
      <c r="A80" s="157"/>
      <c r="C80" s="174"/>
      <c r="D80" s="174"/>
      <c r="E80" s="64"/>
    </row>
    <row r="81">
      <c r="A81" s="157"/>
      <c r="C81" s="174"/>
      <c r="D81" s="174"/>
      <c r="E81" s="64"/>
    </row>
    <row r="82">
      <c r="A82" s="157"/>
      <c r="C82" s="174"/>
      <c r="D82" s="174"/>
      <c r="E82" s="64"/>
    </row>
    <row r="83">
      <c r="A83" s="157"/>
      <c r="C83" s="174"/>
      <c r="D83" s="174"/>
      <c r="E83" s="64"/>
    </row>
    <row r="84">
      <c r="A84" s="157"/>
      <c r="C84" s="174"/>
      <c r="D84" s="174"/>
      <c r="E84" s="64"/>
    </row>
    <row r="85">
      <c r="A85" s="157"/>
      <c r="C85" s="174"/>
      <c r="D85" s="174"/>
      <c r="E85" s="64"/>
    </row>
    <row r="86">
      <c r="A86" s="157"/>
      <c r="C86" s="174"/>
      <c r="D86" s="174"/>
      <c r="E86" s="64"/>
    </row>
    <row r="87">
      <c r="A87" s="157"/>
      <c r="C87" s="174"/>
      <c r="D87" s="174"/>
      <c r="E87" s="64"/>
    </row>
    <row r="88">
      <c r="A88" s="157"/>
      <c r="C88" s="174"/>
      <c r="D88" s="174"/>
      <c r="E88" s="64"/>
    </row>
    <row r="89">
      <c r="A89" s="157"/>
      <c r="C89" s="174"/>
      <c r="D89" s="174"/>
      <c r="E89" s="64"/>
    </row>
    <row r="90">
      <c r="A90" s="157"/>
      <c r="C90" s="174"/>
      <c r="D90" s="174"/>
      <c r="E90" s="64"/>
    </row>
    <row r="91">
      <c r="A91" s="157"/>
      <c r="C91" s="174"/>
      <c r="D91" s="174"/>
      <c r="E91" s="64"/>
    </row>
    <row r="92">
      <c r="A92" s="157"/>
      <c r="C92" s="174"/>
      <c r="D92" s="174"/>
      <c r="E92" s="64"/>
    </row>
    <row r="93">
      <c r="A93" s="157"/>
      <c r="C93" s="174"/>
      <c r="D93" s="174"/>
      <c r="E93" s="64"/>
    </row>
    <row r="94">
      <c r="A94" s="157"/>
      <c r="C94" s="174"/>
      <c r="D94" s="174"/>
      <c r="E94" s="64"/>
    </row>
    <row r="95">
      <c r="A95" s="157"/>
      <c r="C95" s="174"/>
      <c r="D95" s="174"/>
      <c r="E95" s="64"/>
    </row>
    <row r="96">
      <c r="A96" s="157"/>
      <c r="C96" s="174"/>
      <c r="D96" s="174"/>
      <c r="E96" s="64"/>
    </row>
    <row r="97">
      <c r="A97" s="157"/>
      <c r="C97" s="174"/>
      <c r="D97" s="174"/>
      <c r="E97" s="64"/>
    </row>
    <row r="98">
      <c r="A98" s="157"/>
      <c r="C98" s="174"/>
      <c r="D98" s="174"/>
      <c r="E98" s="64"/>
    </row>
    <row r="99">
      <c r="A99" s="157"/>
      <c r="C99" s="174"/>
      <c r="D99" s="174"/>
      <c r="E99" s="64"/>
    </row>
    <row r="100">
      <c r="A100" s="157"/>
      <c r="C100" s="174"/>
      <c r="D100" s="174"/>
      <c r="E100" s="64"/>
    </row>
    <row r="101">
      <c r="A101" s="157"/>
      <c r="C101" s="174"/>
      <c r="D101" s="174"/>
      <c r="E101" s="64"/>
    </row>
    <row r="102">
      <c r="A102" s="157"/>
      <c r="C102" s="174"/>
      <c r="D102" s="174"/>
      <c r="E102" s="64"/>
    </row>
    <row r="103">
      <c r="A103" s="157"/>
      <c r="C103" s="174"/>
      <c r="D103" s="174"/>
      <c r="E103" s="64"/>
    </row>
    <row r="104">
      <c r="A104" s="157"/>
      <c r="C104" s="174"/>
      <c r="D104" s="174"/>
      <c r="E104" s="64"/>
    </row>
    <row r="105">
      <c r="A105" s="157"/>
      <c r="C105" s="174"/>
      <c r="D105" s="174"/>
      <c r="E105" s="64"/>
    </row>
    <row r="106">
      <c r="A106" s="157"/>
      <c r="C106" s="174"/>
      <c r="D106" s="174"/>
      <c r="E106" s="64"/>
    </row>
    <row r="107">
      <c r="A107" s="157"/>
      <c r="C107" s="174"/>
      <c r="D107" s="174"/>
      <c r="E107" s="64"/>
    </row>
    <row r="108">
      <c r="A108" s="157"/>
      <c r="C108" s="174"/>
      <c r="D108" s="174"/>
      <c r="E108" s="64"/>
    </row>
    <row r="109">
      <c r="A109" s="157"/>
      <c r="C109" s="174"/>
      <c r="D109" s="174"/>
      <c r="E109" s="64"/>
    </row>
    <row r="110">
      <c r="A110" s="157"/>
      <c r="C110" s="174"/>
      <c r="D110" s="174"/>
      <c r="E110" s="64"/>
    </row>
    <row r="111">
      <c r="A111" s="157"/>
      <c r="C111" s="174"/>
      <c r="D111" s="174"/>
      <c r="E111" s="64"/>
    </row>
    <row r="112">
      <c r="A112" s="157"/>
      <c r="C112" s="174"/>
      <c r="D112" s="174"/>
      <c r="E112" s="64"/>
    </row>
    <row r="113">
      <c r="A113" s="157"/>
      <c r="C113" s="174"/>
      <c r="D113" s="174"/>
      <c r="E113" s="64"/>
    </row>
    <row r="114">
      <c r="A114" s="157"/>
      <c r="C114" s="174"/>
      <c r="D114" s="174"/>
      <c r="E114" s="64"/>
    </row>
    <row r="115">
      <c r="A115" s="157"/>
      <c r="C115" s="174"/>
      <c r="D115" s="174"/>
      <c r="E115" s="64"/>
    </row>
    <row r="116">
      <c r="A116" s="157"/>
      <c r="C116" s="174"/>
      <c r="D116" s="174"/>
      <c r="E116" s="64"/>
    </row>
    <row r="117">
      <c r="A117" s="157"/>
      <c r="C117" s="174"/>
      <c r="D117" s="174"/>
      <c r="E117" s="64"/>
    </row>
    <row r="118">
      <c r="A118" s="157"/>
      <c r="C118" s="174"/>
      <c r="D118" s="174"/>
      <c r="E118" s="64"/>
    </row>
    <row r="119">
      <c r="A119" s="157"/>
      <c r="C119" s="174"/>
      <c r="D119" s="174"/>
      <c r="E119" s="64"/>
    </row>
    <row r="120">
      <c r="A120" s="157"/>
      <c r="C120" s="174"/>
      <c r="D120" s="174"/>
      <c r="E120" s="64"/>
    </row>
    <row r="121">
      <c r="A121" s="157"/>
      <c r="C121" s="174"/>
      <c r="D121" s="174"/>
      <c r="E121" s="64"/>
    </row>
    <row r="122">
      <c r="A122" s="157"/>
      <c r="C122" s="174"/>
      <c r="D122" s="174"/>
      <c r="E122" s="64"/>
    </row>
    <row r="123">
      <c r="A123" s="157"/>
      <c r="C123" s="174"/>
      <c r="D123" s="174"/>
      <c r="E123" s="64"/>
    </row>
    <row r="124">
      <c r="A124" s="157"/>
      <c r="C124" s="174"/>
      <c r="D124" s="174"/>
      <c r="E124" s="64"/>
    </row>
    <row r="125">
      <c r="A125" s="157"/>
      <c r="C125" s="174"/>
      <c r="D125" s="174"/>
      <c r="E125" s="64"/>
    </row>
    <row r="126">
      <c r="A126" s="157"/>
      <c r="C126" s="174"/>
      <c r="D126" s="174"/>
      <c r="E126" s="64"/>
    </row>
    <row r="127">
      <c r="A127" s="157"/>
      <c r="C127" s="174"/>
      <c r="D127" s="174"/>
      <c r="E127" s="64"/>
    </row>
    <row r="128">
      <c r="A128" s="157"/>
      <c r="C128" s="174"/>
      <c r="D128" s="174"/>
      <c r="E128" s="64"/>
    </row>
    <row r="129">
      <c r="A129" s="157"/>
      <c r="C129" s="174"/>
      <c r="D129" s="174"/>
      <c r="E129" s="64"/>
    </row>
    <row r="130">
      <c r="A130" s="157"/>
      <c r="C130" s="174"/>
      <c r="D130" s="174"/>
      <c r="E130" s="64"/>
    </row>
    <row r="131">
      <c r="A131" s="157"/>
      <c r="C131" s="174"/>
      <c r="D131" s="174"/>
      <c r="E131" s="64"/>
    </row>
    <row r="132">
      <c r="A132" s="157"/>
      <c r="C132" s="174"/>
      <c r="D132" s="174"/>
      <c r="E132" s="64"/>
    </row>
    <row r="133">
      <c r="A133" s="157"/>
      <c r="C133" s="174"/>
      <c r="D133" s="174"/>
      <c r="E133" s="64"/>
    </row>
    <row r="134">
      <c r="A134" s="157"/>
      <c r="C134" s="174"/>
      <c r="D134" s="174"/>
      <c r="E134" s="64"/>
    </row>
    <row r="135">
      <c r="A135" s="157"/>
      <c r="C135" s="174"/>
      <c r="D135" s="174"/>
      <c r="E135" s="64"/>
    </row>
    <row r="136">
      <c r="A136" s="157"/>
      <c r="C136" s="174"/>
      <c r="D136" s="174"/>
      <c r="E136" s="64"/>
    </row>
    <row r="137">
      <c r="A137" s="157"/>
      <c r="C137" s="174"/>
      <c r="D137" s="174"/>
      <c r="E137" s="64"/>
    </row>
    <row r="138">
      <c r="A138" s="157"/>
      <c r="C138" s="174"/>
      <c r="D138" s="174"/>
      <c r="E138" s="64"/>
    </row>
    <row r="139">
      <c r="A139" s="157"/>
      <c r="C139" s="174"/>
      <c r="D139" s="174"/>
      <c r="E139" s="64"/>
    </row>
    <row r="140">
      <c r="A140" s="157"/>
      <c r="C140" s="174"/>
      <c r="D140" s="174"/>
      <c r="E140" s="64"/>
    </row>
    <row r="141">
      <c r="A141" s="157"/>
      <c r="C141" s="174"/>
      <c r="D141" s="174"/>
      <c r="E141" s="64"/>
    </row>
    <row r="142">
      <c r="A142" s="157"/>
      <c r="C142" s="174"/>
      <c r="D142" s="174"/>
      <c r="E142" s="64"/>
    </row>
    <row r="143">
      <c r="A143" s="157"/>
      <c r="C143" s="174"/>
      <c r="D143" s="174"/>
      <c r="E143" s="64"/>
    </row>
    <row r="144">
      <c r="A144" s="157"/>
      <c r="C144" s="174"/>
      <c r="D144" s="174"/>
      <c r="E144" s="64"/>
    </row>
    <row r="145">
      <c r="A145" s="157"/>
      <c r="C145" s="174"/>
      <c r="D145" s="174"/>
      <c r="E145" s="64"/>
    </row>
    <row r="146">
      <c r="A146" s="157"/>
      <c r="C146" s="174"/>
      <c r="D146" s="174"/>
      <c r="E146" s="64"/>
    </row>
    <row r="147">
      <c r="A147" s="157"/>
      <c r="C147" s="174"/>
      <c r="D147" s="174"/>
      <c r="E147" s="64"/>
    </row>
    <row r="148">
      <c r="A148" s="157"/>
      <c r="C148" s="174"/>
      <c r="D148" s="174"/>
      <c r="E148" s="64"/>
    </row>
    <row r="149">
      <c r="A149" s="157"/>
      <c r="C149" s="174"/>
      <c r="D149" s="174"/>
      <c r="E149" s="64"/>
    </row>
    <row r="150">
      <c r="A150" s="157"/>
      <c r="C150" s="174"/>
      <c r="D150" s="174"/>
      <c r="E150" s="64"/>
    </row>
    <row r="151">
      <c r="A151" s="157"/>
      <c r="C151" s="174"/>
      <c r="D151" s="174"/>
      <c r="E151" s="64"/>
    </row>
    <row r="152">
      <c r="A152" s="157"/>
      <c r="C152" s="174"/>
      <c r="D152" s="174"/>
      <c r="E152" s="64"/>
    </row>
    <row r="153">
      <c r="A153" s="157"/>
      <c r="C153" s="174"/>
      <c r="D153" s="174"/>
      <c r="E153" s="64"/>
    </row>
    <row r="154">
      <c r="A154" s="157"/>
      <c r="C154" s="174"/>
      <c r="D154" s="174"/>
      <c r="E154" s="64"/>
    </row>
    <row r="155">
      <c r="A155" s="157"/>
      <c r="C155" s="174"/>
      <c r="D155" s="174"/>
      <c r="E155" s="64"/>
    </row>
    <row r="156">
      <c r="A156" s="157"/>
      <c r="C156" s="174"/>
      <c r="D156" s="174"/>
      <c r="E156" s="64"/>
    </row>
    <row r="157">
      <c r="A157" s="157"/>
      <c r="C157" s="174"/>
      <c r="D157" s="174"/>
      <c r="E157" s="64"/>
    </row>
    <row r="158">
      <c r="A158" s="157"/>
      <c r="C158" s="174"/>
      <c r="D158" s="174"/>
      <c r="E158" s="64"/>
    </row>
    <row r="159">
      <c r="A159" s="157"/>
      <c r="C159" s="174"/>
      <c r="D159" s="174"/>
      <c r="E159" s="64"/>
    </row>
    <row r="160">
      <c r="A160" s="157"/>
      <c r="C160" s="174"/>
      <c r="D160" s="174"/>
      <c r="E160" s="64"/>
    </row>
    <row r="161">
      <c r="A161" s="157"/>
      <c r="C161" s="174"/>
      <c r="D161" s="174"/>
      <c r="E161" s="64"/>
    </row>
    <row r="162">
      <c r="A162" s="157"/>
      <c r="C162" s="174"/>
      <c r="D162" s="174"/>
      <c r="E162" s="64"/>
    </row>
    <row r="163">
      <c r="A163" s="157"/>
      <c r="C163" s="174"/>
      <c r="D163" s="174"/>
      <c r="E163" s="64"/>
    </row>
    <row r="164">
      <c r="A164" s="157"/>
      <c r="C164" s="174"/>
      <c r="D164" s="174"/>
      <c r="E164" s="64"/>
    </row>
    <row r="165">
      <c r="A165" s="157"/>
      <c r="C165" s="174"/>
      <c r="D165" s="174"/>
      <c r="E165" s="64"/>
    </row>
    <row r="166">
      <c r="A166" s="157"/>
      <c r="C166" s="174"/>
      <c r="D166" s="174"/>
      <c r="E166" s="64"/>
    </row>
    <row r="167">
      <c r="A167" s="157"/>
      <c r="C167" s="174"/>
      <c r="D167" s="174"/>
      <c r="E167" s="64"/>
    </row>
    <row r="168">
      <c r="A168" s="157"/>
      <c r="C168" s="174"/>
      <c r="D168" s="174"/>
      <c r="E168" s="64"/>
    </row>
    <row r="169">
      <c r="A169" s="157"/>
      <c r="C169" s="174"/>
      <c r="D169" s="174"/>
      <c r="E169" s="64"/>
    </row>
    <row r="170">
      <c r="A170" s="157"/>
      <c r="C170" s="174"/>
      <c r="D170" s="174"/>
      <c r="E170" s="64"/>
    </row>
    <row r="171">
      <c r="A171" s="157"/>
      <c r="C171" s="174"/>
      <c r="D171" s="174"/>
      <c r="E171" s="64"/>
    </row>
    <row r="172">
      <c r="A172" s="157"/>
      <c r="C172" s="174"/>
      <c r="D172" s="174"/>
      <c r="E172" s="64"/>
    </row>
    <row r="173">
      <c r="A173" s="157"/>
      <c r="C173" s="174"/>
      <c r="D173" s="174"/>
      <c r="E173" s="64"/>
    </row>
    <row r="174">
      <c r="A174" s="157"/>
      <c r="C174" s="174"/>
      <c r="D174" s="174"/>
      <c r="E174" s="64"/>
    </row>
    <row r="175">
      <c r="A175" s="157"/>
      <c r="C175" s="174"/>
      <c r="D175" s="174"/>
      <c r="E175" s="64"/>
    </row>
    <row r="176">
      <c r="A176" s="157"/>
      <c r="C176" s="174"/>
      <c r="D176" s="174"/>
      <c r="E176" s="64"/>
    </row>
    <row r="177">
      <c r="A177" s="157"/>
      <c r="C177" s="174"/>
      <c r="D177" s="174"/>
      <c r="E177" s="64"/>
    </row>
    <row r="178">
      <c r="A178" s="157"/>
      <c r="C178" s="174"/>
      <c r="D178" s="174"/>
      <c r="E178" s="64"/>
    </row>
    <row r="179">
      <c r="A179" s="157"/>
      <c r="C179" s="174"/>
      <c r="D179" s="174"/>
      <c r="E179" s="64"/>
    </row>
    <row r="180">
      <c r="A180" s="157"/>
      <c r="C180" s="174"/>
      <c r="D180" s="174"/>
      <c r="E180" s="64"/>
    </row>
    <row r="181">
      <c r="A181" s="157"/>
      <c r="C181" s="174"/>
      <c r="D181" s="174"/>
      <c r="E181" s="64"/>
    </row>
    <row r="182">
      <c r="A182" s="157"/>
      <c r="C182" s="174"/>
      <c r="D182" s="174"/>
      <c r="E182" s="64"/>
    </row>
    <row r="183">
      <c r="A183" s="157"/>
      <c r="C183" s="174"/>
      <c r="D183" s="174"/>
      <c r="E183" s="64"/>
    </row>
    <row r="184">
      <c r="A184" s="157"/>
      <c r="C184" s="174"/>
      <c r="D184" s="174"/>
      <c r="E184" s="64"/>
    </row>
    <row r="185">
      <c r="A185" s="157"/>
      <c r="C185" s="174"/>
      <c r="D185" s="174"/>
      <c r="E185" s="64"/>
    </row>
    <row r="186">
      <c r="A186" s="157"/>
      <c r="C186" s="174"/>
      <c r="D186" s="174"/>
      <c r="E186" s="64"/>
    </row>
    <row r="187">
      <c r="A187" s="157"/>
      <c r="C187" s="174"/>
      <c r="D187" s="174"/>
      <c r="E187" s="64"/>
    </row>
    <row r="188">
      <c r="A188" s="157"/>
      <c r="C188" s="174"/>
      <c r="D188" s="174"/>
      <c r="E188" s="64"/>
    </row>
    <row r="189">
      <c r="A189" s="157"/>
      <c r="C189" s="174"/>
      <c r="D189" s="174"/>
      <c r="E189" s="64"/>
    </row>
    <row r="190">
      <c r="A190" s="157"/>
      <c r="C190" s="174"/>
      <c r="D190" s="174"/>
      <c r="E190" s="64"/>
    </row>
    <row r="191">
      <c r="A191" s="157"/>
      <c r="C191" s="174"/>
      <c r="D191" s="174"/>
      <c r="E191" s="64"/>
    </row>
    <row r="192">
      <c r="A192" s="157"/>
      <c r="C192" s="174"/>
      <c r="D192" s="174"/>
      <c r="E192" s="64"/>
    </row>
    <row r="193">
      <c r="A193" s="157"/>
      <c r="C193" s="174"/>
      <c r="D193" s="174"/>
      <c r="E193" s="64"/>
    </row>
    <row r="194">
      <c r="A194" s="157"/>
      <c r="C194" s="174"/>
      <c r="D194" s="174"/>
      <c r="E194" s="64"/>
    </row>
    <row r="195">
      <c r="A195" s="157"/>
      <c r="C195" s="174"/>
      <c r="D195" s="174"/>
      <c r="E195" s="64"/>
    </row>
    <row r="196">
      <c r="A196" s="157"/>
      <c r="C196" s="174"/>
      <c r="D196" s="174"/>
      <c r="E196" s="64"/>
    </row>
    <row r="197">
      <c r="A197" s="157"/>
      <c r="C197" s="174"/>
      <c r="D197" s="174"/>
      <c r="E197" s="64"/>
    </row>
    <row r="198">
      <c r="A198" s="157"/>
      <c r="C198" s="174"/>
      <c r="D198" s="174"/>
      <c r="E198" s="64"/>
    </row>
    <row r="199">
      <c r="A199" s="157"/>
      <c r="C199" s="174"/>
      <c r="D199" s="174"/>
      <c r="E199" s="64"/>
    </row>
    <row r="200">
      <c r="A200" s="157"/>
      <c r="C200" s="174"/>
      <c r="D200" s="174"/>
      <c r="E200" s="64"/>
    </row>
    <row r="201">
      <c r="A201" s="157"/>
      <c r="C201" s="174"/>
      <c r="D201" s="174"/>
      <c r="E201" s="64"/>
    </row>
    <row r="202">
      <c r="A202" s="157"/>
      <c r="C202" s="174"/>
      <c r="D202" s="174"/>
      <c r="E202" s="64"/>
    </row>
    <row r="203">
      <c r="A203" s="157"/>
      <c r="C203" s="174"/>
      <c r="D203" s="174"/>
      <c r="E203" s="64"/>
    </row>
    <row r="204">
      <c r="A204" s="157"/>
      <c r="C204" s="174"/>
      <c r="D204" s="174"/>
      <c r="E204" s="64"/>
    </row>
    <row r="205">
      <c r="A205" s="157"/>
      <c r="C205" s="174"/>
      <c r="D205" s="174"/>
      <c r="E205" s="64"/>
    </row>
    <row r="206">
      <c r="A206" s="157"/>
      <c r="C206" s="174"/>
      <c r="D206" s="174"/>
      <c r="E206" s="64"/>
    </row>
    <row r="207">
      <c r="A207" s="157"/>
      <c r="C207" s="174"/>
      <c r="D207" s="174"/>
      <c r="E207" s="64"/>
    </row>
    <row r="208">
      <c r="A208" s="157"/>
      <c r="C208" s="174"/>
      <c r="D208" s="174"/>
      <c r="E208" s="64"/>
    </row>
    <row r="209">
      <c r="A209" s="157"/>
      <c r="C209" s="174"/>
      <c r="D209" s="174"/>
      <c r="E209" s="64"/>
    </row>
    <row r="210">
      <c r="A210" s="157"/>
      <c r="C210" s="174"/>
      <c r="D210" s="174"/>
      <c r="E210" s="64"/>
    </row>
    <row r="211">
      <c r="A211" s="157"/>
      <c r="C211" s="174"/>
      <c r="D211" s="174"/>
      <c r="E211" s="64"/>
    </row>
    <row r="212">
      <c r="A212" s="157"/>
      <c r="C212" s="174"/>
      <c r="D212" s="174"/>
      <c r="E212" s="64"/>
    </row>
    <row r="213">
      <c r="A213" s="157"/>
      <c r="C213" s="174"/>
      <c r="D213" s="174"/>
      <c r="E213" s="64"/>
    </row>
    <row r="214">
      <c r="A214" s="157"/>
      <c r="C214" s="174"/>
      <c r="D214" s="174"/>
      <c r="E214" s="64"/>
    </row>
    <row r="215">
      <c r="A215" s="157"/>
      <c r="C215" s="174"/>
      <c r="D215" s="174"/>
      <c r="E215" s="64"/>
    </row>
    <row r="216">
      <c r="A216" s="157"/>
      <c r="C216" s="174"/>
      <c r="D216" s="174"/>
      <c r="E216" s="64"/>
    </row>
    <row r="217">
      <c r="A217" s="157"/>
      <c r="C217" s="174"/>
      <c r="D217" s="174"/>
      <c r="E217" s="64"/>
    </row>
    <row r="218">
      <c r="A218" s="157"/>
      <c r="C218" s="174"/>
      <c r="D218" s="174"/>
      <c r="E218" s="64"/>
    </row>
    <row r="219">
      <c r="A219" s="157"/>
      <c r="C219" s="174"/>
      <c r="D219" s="174"/>
      <c r="E219" s="64"/>
    </row>
    <row r="220">
      <c r="A220" s="157"/>
      <c r="C220" s="174"/>
      <c r="D220" s="174"/>
      <c r="E220" s="64"/>
    </row>
    <row r="221">
      <c r="A221" s="157"/>
      <c r="C221" s="174"/>
      <c r="D221" s="174"/>
      <c r="E221" s="64"/>
    </row>
    <row r="222">
      <c r="A222" s="157"/>
      <c r="C222" s="174"/>
      <c r="D222" s="174"/>
      <c r="E222" s="64"/>
    </row>
    <row r="223">
      <c r="A223" s="157"/>
      <c r="C223" s="174"/>
      <c r="D223" s="174"/>
      <c r="E223" s="64"/>
    </row>
    <row r="224">
      <c r="A224" s="157"/>
      <c r="C224" s="174"/>
      <c r="D224" s="174"/>
      <c r="E224" s="64"/>
    </row>
    <row r="225">
      <c r="A225" s="157"/>
      <c r="C225" s="174"/>
      <c r="D225" s="174"/>
      <c r="E225" s="64"/>
    </row>
    <row r="226">
      <c r="A226" s="157"/>
      <c r="C226" s="174"/>
      <c r="D226" s="174"/>
      <c r="E226" s="64"/>
    </row>
    <row r="227">
      <c r="A227" s="157"/>
      <c r="C227" s="174"/>
      <c r="D227" s="174"/>
      <c r="E227" s="64"/>
    </row>
    <row r="228">
      <c r="A228" s="157"/>
      <c r="C228" s="174"/>
      <c r="D228" s="174"/>
      <c r="E228" s="64"/>
    </row>
    <row r="229">
      <c r="A229" s="157"/>
      <c r="C229" s="174"/>
      <c r="D229" s="174"/>
      <c r="E229" s="64"/>
    </row>
    <row r="230">
      <c r="A230" s="157"/>
      <c r="C230" s="174"/>
      <c r="D230" s="174"/>
      <c r="E230" s="64"/>
    </row>
    <row r="231">
      <c r="A231" s="157"/>
      <c r="C231" s="174"/>
      <c r="D231" s="174"/>
      <c r="E231" s="64"/>
    </row>
    <row r="232">
      <c r="A232" s="157"/>
      <c r="C232" s="174"/>
      <c r="D232" s="174"/>
      <c r="E232" s="64"/>
    </row>
    <row r="233">
      <c r="A233" s="157"/>
      <c r="C233" s="174"/>
      <c r="D233" s="174"/>
      <c r="E233" s="64"/>
    </row>
    <row r="234">
      <c r="A234" s="157"/>
      <c r="C234" s="174"/>
      <c r="D234" s="174"/>
      <c r="E234" s="64"/>
    </row>
    <row r="235">
      <c r="A235" s="157"/>
      <c r="C235" s="174"/>
      <c r="D235" s="174"/>
      <c r="E235" s="64"/>
    </row>
    <row r="236">
      <c r="A236" s="157"/>
      <c r="C236" s="174"/>
      <c r="D236" s="174"/>
      <c r="E236" s="64"/>
    </row>
    <row r="237">
      <c r="A237" s="157"/>
      <c r="C237" s="174"/>
      <c r="D237" s="174"/>
      <c r="E237" s="64"/>
    </row>
    <row r="238">
      <c r="A238" s="157"/>
      <c r="C238" s="174"/>
      <c r="D238" s="174"/>
      <c r="E238" s="64"/>
    </row>
    <row r="239">
      <c r="A239" s="157"/>
      <c r="C239" s="174"/>
      <c r="D239" s="174"/>
      <c r="E239" s="64"/>
    </row>
    <row r="240">
      <c r="A240" s="157"/>
      <c r="C240" s="174"/>
      <c r="D240" s="174"/>
      <c r="E240" s="64"/>
    </row>
    <row r="241">
      <c r="A241" s="157"/>
      <c r="C241" s="174"/>
      <c r="D241" s="174"/>
      <c r="E241" s="64"/>
    </row>
    <row r="242">
      <c r="A242" s="157"/>
      <c r="C242" s="174"/>
      <c r="D242" s="174"/>
      <c r="E242" s="64"/>
    </row>
    <row r="243">
      <c r="A243" s="157"/>
      <c r="C243" s="174"/>
      <c r="D243" s="174"/>
      <c r="E243" s="64"/>
    </row>
    <row r="244">
      <c r="A244" s="157"/>
      <c r="C244" s="174"/>
      <c r="D244" s="174"/>
      <c r="E244" s="64"/>
    </row>
    <row r="245">
      <c r="A245" s="157"/>
      <c r="C245" s="174"/>
      <c r="D245" s="174"/>
      <c r="E245" s="64"/>
    </row>
    <row r="246">
      <c r="A246" s="157"/>
      <c r="C246" s="174"/>
      <c r="D246" s="174"/>
      <c r="E246" s="64"/>
    </row>
    <row r="247">
      <c r="A247" s="157"/>
      <c r="C247" s="174"/>
      <c r="D247" s="174"/>
      <c r="E247" s="64"/>
    </row>
    <row r="248">
      <c r="A248" s="157"/>
      <c r="C248" s="174"/>
      <c r="D248" s="174"/>
      <c r="E248" s="64"/>
    </row>
    <row r="249">
      <c r="A249" s="157"/>
      <c r="C249" s="174"/>
      <c r="D249" s="174"/>
      <c r="E249" s="64"/>
    </row>
    <row r="250">
      <c r="A250" s="157"/>
      <c r="C250" s="174"/>
      <c r="D250" s="174"/>
      <c r="E250" s="64"/>
    </row>
    <row r="251">
      <c r="A251" s="157"/>
      <c r="C251" s="174"/>
      <c r="D251" s="174"/>
      <c r="E251" s="64"/>
    </row>
    <row r="252">
      <c r="A252" s="157"/>
      <c r="C252" s="174"/>
      <c r="D252" s="174"/>
      <c r="E252" s="64"/>
    </row>
    <row r="253">
      <c r="A253" s="157"/>
      <c r="C253" s="174"/>
      <c r="D253" s="174"/>
      <c r="E253" s="64"/>
    </row>
    <row r="254">
      <c r="A254" s="157"/>
      <c r="C254" s="174"/>
      <c r="D254" s="174"/>
      <c r="E254" s="64"/>
    </row>
    <row r="255">
      <c r="A255" s="157"/>
      <c r="C255" s="174"/>
      <c r="D255" s="174"/>
      <c r="E255" s="64"/>
    </row>
    <row r="256">
      <c r="A256" s="157"/>
      <c r="C256" s="174"/>
      <c r="D256" s="174"/>
      <c r="E256" s="64"/>
    </row>
    <row r="257">
      <c r="A257" s="157"/>
      <c r="C257" s="174"/>
      <c r="D257" s="174"/>
      <c r="E257" s="64"/>
    </row>
    <row r="258">
      <c r="A258" s="157"/>
      <c r="C258" s="174"/>
      <c r="D258" s="174"/>
      <c r="E258" s="64"/>
    </row>
    <row r="259">
      <c r="A259" s="157"/>
      <c r="C259" s="174"/>
      <c r="D259" s="174"/>
      <c r="E259" s="64"/>
    </row>
    <row r="260">
      <c r="A260" s="157"/>
      <c r="C260" s="174"/>
      <c r="D260" s="174"/>
      <c r="E260" s="64"/>
    </row>
    <row r="261">
      <c r="A261" s="157"/>
      <c r="C261" s="174"/>
      <c r="D261" s="174"/>
      <c r="E261" s="64"/>
    </row>
    <row r="262">
      <c r="A262" s="157"/>
      <c r="C262" s="174"/>
      <c r="D262" s="174"/>
      <c r="E262" s="64"/>
    </row>
    <row r="263">
      <c r="A263" s="157"/>
      <c r="C263" s="174"/>
      <c r="D263" s="174"/>
      <c r="E263" s="64"/>
    </row>
    <row r="264">
      <c r="A264" s="157"/>
      <c r="C264" s="174"/>
      <c r="D264" s="174"/>
      <c r="E264" s="64"/>
    </row>
    <row r="265">
      <c r="A265" s="157"/>
      <c r="C265" s="174"/>
      <c r="D265" s="174"/>
      <c r="E265" s="64"/>
    </row>
    <row r="266">
      <c r="A266" s="157"/>
      <c r="C266" s="174"/>
      <c r="D266" s="174"/>
      <c r="E266" s="64"/>
    </row>
    <row r="267">
      <c r="A267" s="157"/>
      <c r="C267" s="174"/>
      <c r="D267" s="174"/>
      <c r="E267" s="64"/>
    </row>
    <row r="268">
      <c r="A268" s="157"/>
      <c r="C268" s="174"/>
      <c r="D268" s="174"/>
      <c r="E268" s="64"/>
    </row>
    <row r="269">
      <c r="A269" s="157"/>
      <c r="C269" s="174"/>
      <c r="D269" s="174"/>
      <c r="E269" s="64"/>
    </row>
    <row r="270">
      <c r="A270" s="157"/>
      <c r="C270" s="174"/>
      <c r="D270" s="174"/>
      <c r="E270" s="64"/>
    </row>
    <row r="271">
      <c r="A271" s="157"/>
      <c r="C271" s="174"/>
      <c r="D271" s="174"/>
      <c r="E271" s="64"/>
    </row>
    <row r="272">
      <c r="A272" s="157"/>
      <c r="C272" s="174"/>
      <c r="D272" s="174"/>
      <c r="E272" s="64"/>
    </row>
    <row r="273">
      <c r="A273" s="157"/>
      <c r="C273" s="174"/>
      <c r="D273" s="174"/>
      <c r="E273" s="64"/>
    </row>
    <row r="274">
      <c r="A274" s="157"/>
      <c r="C274" s="174"/>
      <c r="D274" s="174"/>
      <c r="E274" s="64"/>
    </row>
    <row r="275">
      <c r="A275" s="157"/>
      <c r="C275" s="174"/>
      <c r="D275" s="174"/>
      <c r="E275" s="64"/>
    </row>
    <row r="276">
      <c r="A276" s="157"/>
      <c r="C276" s="174"/>
      <c r="D276" s="174"/>
      <c r="E276" s="64"/>
    </row>
    <row r="277">
      <c r="A277" s="157"/>
      <c r="C277" s="174"/>
      <c r="D277" s="174"/>
      <c r="E277" s="64"/>
    </row>
    <row r="278">
      <c r="A278" s="157"/>
      <c r="C278" s="174"/>
      <c r="D278" s="174"/>
      <c r="E278" s="64"/>
    </row>
    <row r="279">
      <c r="A279" s="157"/>
      <c r="C279" s="174"/>
      <c r="D279" s="174"/>
      <c r="E279" s="64"/>
    </row>
    <row r="280">
      <c r="A280" s="157"/>
      <c r="C280" s="174"/>
      <c r="D280" s="174"/>
      <c r="E280" s="64"/>
    </row>
    <row r="281">
      <c r="A281" s="157"/>
      <c r="C281" s="174"/>
      <c r="D281" s="174"/>
      <c r="E281" s="64"/>
    </row>
    <row r="282">
      <c r="A282" s="157"/>
      <c r="C282" s="174"/>
      <c r="D282" s="174"/>
      <c r="E282" s="64"/>
    </row>
    <row r="283">
      <c r="A283" s="157"/>
      <c r="C283" s="174"/>
      <c r="D283" s="174"/>
      <c r="E283" s="64"/>
    </row>
    <row r="284">
      <c r="A284" s="157"/>
      <c r="C284" s="174"/>
      <c r="D284" s="174"/>
      <c r="E284" s="64"/>
    </row>
    <row r="285">
      <c r="A285" s="157"/>
      <c r="C285" s="174"/>
      <c r="D285" s="174"/>
      <c r="E285" s="64"/>
    </row>
    <row r="286">
      <c r="A286" s="157"/>
      <c r="C286" s="174"/>
      <c r="D286" s="174"/>
      <c r="E286" s="64"/>
    </row>
    <row r="287">
      <c r="A287" s="157"/>
      <c r="C287" s="174"/>
      <c r="D287" s="174"/>
      <c r="E287" s="64"/>
    </row>
    <row r="288">
      <c r="A288" s="157"/>
      <c r="C288" s="174"/>
      <c r="D288" s="174"/>
      <c r="E288" s="64"/>
    </row>
    <row r="289">
      <c r="A289" s="157"/>
      <c r="C289" s="174"/>
      <c r="D289" s="174"/>
      <c r="E289" s="64"/>
    </row>
    <row r="290">
      <c r="A290" s="157"/>
      <c r="C290" s="174"/>
      <c r="D290" s="174"/>
      <c r="E290" s="64"/>
    </row>
    <row r="291">
      <c r="A291" s="157"/>
      <c r="C291" s="174"/>
      <c r="D291" s="174"/>
      <c r="E291" s="64"/>
    </row>
    <row r="292">
      <c r="A292" s="157"/>
      <c r="C292" s="174"/>
      <c r="D292" s="174"/>
      <c r="E292" s="64"/>
    </row>
    <row r="293">
      <c r="A293" s="157"/>
      <c r="C293" s="174"/>
      <c r="D293" s="174"/>
      <c r="E293" s="64"/>
    </row>
    <row r="294">
      <c r="A294" s="157"/>
      <c r="C294" s="174"/>
      <c r="D294" s="174"/>
      <c r="E294" s="64"/>
    </row>
    <row r="295">
      <c r="A295" s="157"/>
      <c r="C295" s="174"/>
      <c r="D295" s="174"/>
      <c r="E295" s="64"/>
    </row>
    <row r="296">
      <c r="A296" s="157"/>
      <c r="C296" s="174"/>
      <c r="D296" s="174"/>
      <c r="E296" s="64"/>
    </row>
    <row r="297">
      <c r="A297" s="157"/>
      <c r="C297" s="174"/>
      <c r="D297" s="174"/>
      <c r="E297" s="64"/>
    </row>
    <row r="298">
      <c r="A298" s="157"/>
      <c r="C298" s="174"/>
      <c r="D298" s="174"/>
      <c r="E298" s="64"/>
    </row>
    <row r="299">
      <c r="A299" s="157"/>
      <c r="C299" s="174"/>
      <c r="D299" s="174"/>
      <c r="E299" s="64"/>
    </row>
    <row r="300">
      <c r="A300" s="157"/>
      <c r="C300" s="174"/>
      <c r="D300" s="174"/>
      <c r="E300" s="64"/>
    </row>
    <row r="301">
      <c r="A301" s="157"/>
      <c r="C301" s="174"/>
      <c r="D301" s="174"/>
      <c r="E301" s="64"/>
    </row>
    <row r="302">
      <c r="A302" s="157"/>
      <c r="C302" s="174"/>
      <c r="D302" s="174"/>
      <c r="E302" s="64"/>
    </row>
    <row r="303">
      <c r="A303" s="157"/>
      <c r="C303" s="174"/>
      <c r="D303" s="174"/>
      <c r="E303" s="64"/>
    </row>
    <row r="304">
      <c r="A304" s="157"/>
      <c r="C304" s="174"/>
      <c r="D304" s="174"/>
      <c r="E304" s="64"/>
    </row>
    <row r="305">
      <c r="A305" s="157"/>
      <c r="C305" s="174"/>
      <c r="D305" s="174"/>
      <c r="E305" s="64"/>
    </row>
    <row r="306">
      <c r="A306" s="157"/>
      <c r="C306" s="174"/>
      <c r="D306" s="174"/>
      <c r="E306" s="64"/>
    </row>
    <row r="307">
      <c r="A307" s="157"/>
      <c r="C307" s="174"/>
      <c r="D307" s="174"/>
      <c r="E307" s="64"/>
    </row>
    <row r="308">
      <c r="A308" s="157"/>
      <c r="C308" s="174"/>
      <c r="D308" s="174"/>
      <c r="E308" s="64"/>
    </row>
    <row r="309">
      <c r="A309" s="157"/>
      <c r="C309" s="174"/>
      <c r="D309" s="174"/>
      <c r="E309" s="64"/>
    </row>
    <row r="310">
      <c r="A310" s="157"/>
      <c r="C310" s="174"/>
      <c r="D310" s="174"/>
      <c r="E310" s="64"/>
    </row>
    <row r="311">
      <c r="A311" s="157"/>
      <c r="C311" s="174"/>
      <c r="D311" s="174"/>
      <c r="E311" s="64"/>
    </row>
    <row r="312">
      <c r="A312" s="157"/>
      <c r="C312" s="174"/>
      <c r="D312" s="174"/>
      <c r="E312" s="64"/>
    </row>
    <row r="313">
      <c r="A313" s="157"/>
      <c r="C313" s="174"/>
      <c r="D313" s="174"/>
      <c r="E313" s="64"/>
    </row>
    <row r="314">
      <c r="A314" s="157"/>
      <c r="C314" s="174"/>
      <c r="D314" s="174"/>
      <c r="E314" s="64"/>
    </row>
    <row r="315">
      <c r="A315" s="157"/>
      <c r="C315" s="174"/>
      <c r="D315" s="174"/>
      <c r="E315" s="64"/>
    </row>
    <row r="316">
      <c r="A316" s="157"/>
      <c r="C316" s="174"/>
      <c r="D316" s="174"/>
      <c r="E316" s="64"/>
    </row>
    <row r="317">
      <c r="A317" s="157"/>
      <c r="C317" s="174"/>
      <c r="D317" s="174"/>
      <c r="E317" s="64"/>
    </row>
    <row r="318">
      <c r="A318" s="157"/>
      <c r="C318" s="174"/>
      <c r="D318" s="174"/>
      <c r="E318" s="64"/>
    </row>
    <row r="319">
      <c r="A319" s="157"/>
      <c r="C319" s="174"/>
      <c r="D319" s="174"/>
      <c r="E319" s="64"/>
    </row>
    <row r="320">
      <c r="A320" s="157"/>
      <c r="C320" s="174"/>
      <c r="D320" s="174"/>
      <c r="E320" s="64"/>
    </row>
    <row r="321">
      <c r="A321" s="157"/>
      <c r="C321" s="174"/>
      <c r="D321" s="174"/>
      <c r="E321" s="64"/>
    </row>
    <row r="322">
      <c r="A322" s="157"/>
      <c r="C322" s="174"/>
      <c r="D322" s="174"/>
      <c r="E322" s="64"/>
    </row>
    <row r="323">
      <c r="A323" s="157"/>
      <c r="C323" s="174"/>
      <c r="D323" s="174"/>
      <c r="E323" s="64"/>
    </row>
    <row r="324">
      <c r="A324" s="157"/>
      <c r="C324" s="174"/>
      <c r="D324" s="174"/>
      <c r="E324" s="64"/>
    </row>
    <row r="325">
      <c r="A325" s="157"/>
      <c r="C325" s="174"/>
      <c r="D325" s="174"/>
      <c r="E325" s="64"/>
    </row>
    <row r="326">
      <c r="A326" s="157"/>
      <c r="C326" s="174"/>
      <c r="D326" s="174"/>
      <c r="E326" s="64"/>
    </row>
    <row r="327">
      <c r="A327" s="157"/>
      <c r="C327" s="174"/>
      <c r="D327" s="174"/>
      <c r="E327" s="64"/>
    </row>
    <row r="328">
      <c r="A328" s="157"/>
      <c r="C328" s="174"/>
      <c r="D328" s="174"/>
      <c r="E328" s="64"/>
    </row>
    <row r="329">
      <c r="A329" s="157"/>
      <c r="C329" s="174"/>
      <c r="D329" s="174"/>
      <c r="E329" s="64"/>
    </row>
    <row r="330">
      <c r="A330" s="157"/>
      <c r="C330" s="174"/>
      <c r="D330" s="174"/>
      <c r="E330" s="64"/>
    </row>
    <row r="331">
      <c r="A331" s="157"/>
      <c r="C331" s="174"/>
      <c r="D331" s="174"/>
      <c r="E331" s="64"/>
    </row>
    <row r="332">
      <c r="A332" s="157"/>
      <c r="C332" s="174"/>
      <c r="D332" s="174"/>
      <c r="E332" s="64"/>
    </row>
    <row r="333">
      <c r="A333" s="157"/>
      <c r="C333" s="174"/>
      <c r="D333" s="174"/>
      <c r="E333" s="64"/>
    </row>
    <row r="334">
      <c r="A334" s="157"/>
      <c r="C334" s="174"/>
      <c r="D334" s="174"/>
      <c r="E334" s="64"/>
    </row>
    <row r="335">
      <c r="A335" s="157"/>
      <c r="C335" s="174"/>
      <c r="D335" s="174"/>
      <c r="E335" s="64"/>
    </row>
    <row r="336">
      <c r="A336" s="157"/>
      <c r="C336" s="174"/>
      <c r="D336" s="174"/>
      <c r="E336" s="64"/>
    </row>
    <row r="337">
      <c r="A337" s="157"/>
      <c r="C337" s="174"/>
      <c r="D337" s="174"/>
      <c r="E337" s="64"/>
    </row>
    <row r="338">
      <c r="A338" s="157"/>
      <c r="C338" s="174"/>
      <c r="D338" s="174"/>
      <c r="E338" s="64"/>
    </row>
    <row r="339">
      <c r="A339" s="157"/>
      <c r="C339" s="174"/>
      <c r="D339" s="174"/>
      <c r="E339" s="64"/>
    </row>
    <row r="340">
      <c r="A340" s="157"/>
      <c r="C340" s="174"/>
      <c r="D340" s="174"/>
      <c r="E340" s="64"/>
    </row>
    <row r="341">
      <c r="A341" s="157"/>
      <c r="C341" s="174"/>
      <c r="D341" s="174"/>
      <c r="E341" s="64"/>
    </row>
    <row r="342">
      <c r="A342" s="157"/>
      <c r="C342" s="174"/>
      <c r="D342" s="174"/>
      <c r="E342" s="64"/>
    </row>
    <row r="343">
      <c r="A343" s="157"/>
      <c r="C343" s="174"/>
      <c r="D343" s="174"/>
      <c r="E343" s="64"/>
    </row>
    <row r="344">
      <c r="A344" s="157"/>
      <c r="C344" s="174"/>
      <c r="D344" s="174"/>
      <c r="E344" s="64"/>
    </row>
    <row r="345">
      <c r="A345" s="157"/>
      <c r="C345" s="174"/>
      <c r="D345" s="174"/>
      <c r="E345" s="64"/>
    </row>
    <row r="346">
      <c r="A346" s="157"/>
      <c r="C346" s="174"/>
      <c r="D346" s="174"/>
      <c r="E346" s="64"/>
    </row>
    <row r="347">
      <c r="A347" s="157"/>
      <c r="C347" s="174"/>
      <c r="D347" s="174"/>
      <c r="E347" s="64"/>
    </row>
    <row r="348">
      <c r="A348" s="157"/>
      <c r="C348" s="174"/>
      <c r="D348" s="174"/>
      <c r="E348" s="64"/>
    </row>
    <row r="349">
      <c r="A349" s="157"/>
      <c r="C349" s="174"/>
      <c r="D349" s="174"/>
      <c r="E349" s="64"/>
    </row>
    <row r="350">
      <c r="A350" s="157"/>
      <c r="C350" s="174"/>
      <c r="D350" s="174"/>
      <c r="E350" s="64"/>
    </row>
    <row r="351">
      <c r="A351" s="157"/>
      <c r="C351" s="174"/>
      <c r="D351" s="174"/>
      <c r="E351" s="64"/>
    </row>
    <row r="352">
      <c r="A352" s="157"/>
      <c r="C352" s="174"/>
      <c r="D352" s="174"/>
      <c r="E352" s="64"/>
    </row>
    <row r="353">
      <c r="A353" s="157"/>
      <c r="C353" s="174"/>
      <c r="D353" s="174"/>
      <c r="E353" s="64"/>
    </row>
    <row r="354">
      <c r="A354" s="157"/>
      <c r="C354" s="174"/>
      <c r="D354" s="174"/>
      <c r="E354" s="64"/>
    </row>
    <row r="355">
      <c r="A355" s="157"/>
      <c r="C355" s="174"/>
      <c r="D355" s="174"/>
      <c r="E355" s="64"/>
    </row>
    <row r="356">
      <c r="A356" s="157"/>
      <c r="C356" s="174"/>
      <c r="D356" s="174"/>
      <c r="E356" s="64"/>
    </row>
    <row r="357">
      <c r="A357" s="157"/>
      <c r="C357" s="174"/>
      <c r="D357" s="174"/>
      <c r="E357" s="64"/>
    </row>
    <row r="358">
      <c r="A358" s="157"/>
      <c r="C358" s="174"/>
      <c r="D358" s="174"/>
      <c r="E358" s="64"/>
    </row>
    <row r="359">
      <c r="A359" s="157"/>
      <c r="C359" s="174"/>
      <c r="D359" s="174"/>
      <c r="E359" s="64"/>
    </row>
    <row r="360">
      <c r="A360" s="157"/>
      <c r="C360" s="174"/>
      <c r="D360" s="174"/>
      <c r="E360" s="64"/>
    </row>
    <row r="361">
      <c r="A361" s="157"/>
      <c r="C361" s="174"/>
      <c r="D361" s="174"/>
      <c r="E361" s="64"/>
    </row>
    <row r="362">
      <c r="A362" s="157"/>
      <c r="C362" s="174"/>
      <c r="D362" s="174"/>
      <c r="E362" s="64"/>
    </row>
    <row r="363">
      <c r="A363" s="157"/>
      <c r="C363" s="174"/>
      <c r="D363" s="174"/>
      <c r="E363" s="64"/>
    </row>
    <row r="364">
      <c r="A364" s="157"/>
      <c r="C364" s="174"/>
      <c r="D364" s="174"/>
      <c r="E364" s="64"/>
    </row>
    <row r="365">
      <c r="A365" s="157"/>
      <c r="C365" s="174"/>
      <c r="D365" s="174"/>
      <c r="E365" s="64"/>
    </row>
    <row r="366">
      <c r="A366" s="157"/>
      <c r="C366" s="174"/>
      <c r="D366" s="174"/>
      <c r="E366" s="64"/>
    </row>
    <row r="367">
      <c r="A367" s="157"/>
      <c r="C367" s="174"/>
      <c r="D367" s="174"/>
      <c r="E367" s="64"/>
    </row>
    <row r="368">
      <c r="A368" s="157"/>
      <c r="C368" s="174"/>
      <c r="D368" s="174"/>
      <c r="E368" s="64"/>
    </row>
    <row r="369">
      <c r="A369" s="157"/>
      <c r="C369" s="174"/>
      <c r="D369" s="174"/>
      <c r="E369" s="64"/>
    </row>
    <row r="370">
      <c r="A370" s="157"/>
      <c r="C370" s="174"/>
      <c r="D370" s="174"/>
      <c r="E370" s="64"/>
    </row>
    <row r="371">
      <c r="A371" s="157"/>
      <c r="C371" s="174"/>
      <c r="D371" s="174"/>
      <c r="E371" s="64"/>
    </row>
    <row r="372">
      <c r="A372" s="157"/>
      <c r="C372" s="174"/>
      <c r="D372" s="174"/>
      <c r="E372" s="64"/>
    </row>
    <row r="373">
      <c r="A373" s="157"/>
      <c r="C373" s="174"/>
      <c r="D373" s="174"/>
      <c r="E373" s="64"/>
    </row>
    <row r="374">
      <c r="A374" s="157"/>
      <c r="C374" s="174"/>
      <c r="D374" s="174"/>
      <c r="E374" s="64"/>
    </row>
    <row r="375">
      <c r="A375" s="157"/>
      <c r="C375" s="174"/>
      <c r="D375" s="174"/>
      <c r="E375" s="64"/>
    </row>
    <row r="376">
      <c r="A376" s="157"/>
      <c r="C376" s="174"/>
      <c r="D376" s="174"/>
      <c r="E376" s="64"/>
    </row>
    <row r="377">
      <c r="A377" s="157"/>
      <c r="C377" s="174"/>
      <c r="D377" s="174"/>
      <c r="E377" s="64"/>
    </row>
    <row r="378">
      <c r="A378" s="157"/>
      <c r="C378" s="174"/>
      <c r="D378" s="174"/>
      <c r="E378" s="64"/>
    </row>
    <row r="379">
      <c r="A379" s="157"/>
      <c r="C379" s="174"/>
      <c r="D379" s="174"/>
      <c r="E379" s="64"/>
    </row>
    <row r="380">
      <c r="A380" s="157"/>
      <c r="C380" s="174"/>
      <c r="D380" s="174"/>
      <c r="E380" s="64"/>
    </row>
    <row r="381">
      <c r="A381" s="157"/>
      <c r="C381" s="174"/>
      <c r="D381" s="174"/>
      <c r="E381" s="64"/>
    </row>
    <row r="382">
      <c r="A382" s="157"/>
      <c r="C382" s="174"/>
      <c r="D382" s="174"/>
      <c r="E382" s="64"/>
    </row>
    <row r="383">
      <c r="A383" s="157"/>
      <c r="C383" s="174"/>
      <c r="D383" s="174"/>
      <c r="E383" s="64"/>
    </row>
    <row r="384">
      <c r="A384" s="157"/>
      <c r="C384" s="174"/>
      <c r="D384" s="174"/>
      <c r="E384" s="64"/>
    </row>
    <row r="385">
      <c r="A385" s="157"/>
      <c r="C385" s="174"/>
      <c r="D385" s="174"/>
      <c r="E385" s="64"/>
    </row>
    <row r="386">
      <c r="A386" s="157"/>
      <c r="C386" s="174"/>
      <c r="D386" s="174"/>
      <c r="E386" s="64"/>
    </row>
    <row r="387">
      <c r="A387" s="157"/>
      <c r="C387" s="174"/>
      <c r="D387" s="174"/>
      <c r="E387" s="64"/>
    </row>
    <row r="388">
      <c r="A388" s="157"/>
      <c r="C388" s="174"/>
      <c r="D388" s="174"/>
      <c r="E388" s="64"/>
    </row>
    <row r="389">
      <c r="A389" s="157"/>
      <c r="C389" s="174"/>
      <c r="D389" s="174"/>
      <c r="E389" s="64"/>
    </row>
    <row r="390">
      <c r="A390" s="157"/>
      <c r="C390" s="174"/>
      <c r="D390" s="174"/>
      <c r="E390" s="64"/>
    </row>
    <row r="391">
      <c r="A391" s="157"/>
      <c r="C391" s="174"/>
      <c r="D391" s="174"/>
      <c r="E391" s="64"/>
    </row>
    <row r="392">
      <c r="A392" s="157"/>
      <c r="C392" s="174"/>
      <c r="D392" s="174"/>
      <c r="E392" s="64"/>
    </row>
    <row r="393">
      <c r="A393" s="157"/>
      <c r="C393" s="174"/>
      <c r="D393" s="174"/>
      <c r="E393" s="64"/>
    </row>
    <row r="394">
      <c r="A394" s="157"/>
      <c r="C394" s="174"/>
      <c r="D394" s="174"/>
      <c r="E394" s="64"/>
    </row>
    <row r="395">
      <c r="A395" s="157"/>
      <c r="C395" s="174"/>
      <c r="D395" s="174"/>
      <c r="E395" s="64"/>
    </row>
    <row r="396">
      <c r="A396" s="157"/>
      <c r="C396" s="174"/>
      <c r="D396" s="174"/>
      <c r="E396" s="64"/>
    </row>
    <row r="397">
      <c r="A397" s="157"/>
      <c r="C397" s="174"/>
      <c r="D397" s="174"/>
      <c r="E397" s="64"/>
    </row>
    <row r="398">
      <c r="A398" s="157"/>
      <c r="C398" s="174"/>
      <c r="D398" s="174"/>
      <c r="E398" s="64"/>
    </row>
    <row r="399">
      <c r="A399" s="157"/>
      <c r="C399" s="174"/>
      <c r="D399" s="174"/>
      <c r="E399" s="64"/>
    </row>
    <row r="400">
      <c r="A400" s="157"/>
      <c r="C400" s="174"/>
      <c r="D400" s="174"/>
      <c r="E400" s="64"/>
    </row>
    <row r="401">
      <c r="A401" s="157"/>
      <c r="C401" s="174"/>
      <c r="D401" s="174"/>
      <c r="E401" s="64"/>
    </row>
    <row r="402">
      <c r="A402" s="157"/>
      <c r="C402" s="174"/>
      <c r="D402" s="174"/>
      <c r="E402" s="64"/>
    </row>
    <row r="403">
      <c r="A403" s="157"/>
      <c r="C403" s="174"/>
      <c r="D403" s="174"/>
      <c r="E403" s="64"/>
    </row>
    <row r="404">
      <c r="A404" s="157"/>
      <c r="C404" s="174"/>
      <c r="D404" s="174"/>
      <c r="E404" s="64"/>
    </row>
    <row r="405">
      <c r="A405" s="157"/>
      <c r="C405" s="174"/>
      <c r="D405" s="174"/>
      <c r="E405" s="64"/>
    </row>
    <row r="406">
      <c r="A406" s="157"/>
      <c r="C406" s="174"/>
      <c r="D406" s="174"/>
      <c r="E406" s="64"/>
    </row>
    <row r="407">
      <c r="A407" s="157"/>
      <c r="C407" s="174"/>
      <c r="D407" s="174"/>
      <c r="E407" s="64"/>
    </row>
    <row r="408">
      <c r="A408" s="157"/>
      <c r="C408" s="174"/>
      <c r="D408" s="174"/>
      <c r="E408" s="64"/>
    </row>
    <row r="409">
      <c r="A409" s="157"/>
      <c r="C409" s="174"/>
      <c r="D409" s="174"/>
      <c r="E409" s="64"/>
    </row>
    <row r="410">
      <c r="A410" s="157"/>
      <c r="C410" s="174"/>
      <c r="D410" s="174"/>
      <c r="E410" s="64"/>
    </row>
    <row r="411">
      <c r="A411" s="157"/>
      <c r="C411" s="174"/>
      <c r="D411" s="174"/>
      <c r="E411" s="64"/>
    </row>
    <row r="412">
      <c r="A412" s="157"/>
      <c r="C412" s="174"/>
      <c r="D412" s="174"/>
      <c r="E412" s="64"/>
    </row>
    <row r="413">
      <c r="A413" s="157"/>
      <c r="C413" s="174"/>
      <c r="D413" s="174"/>
      <c r="E413" s="64"/>
    </row>
    <row r="414">
      <c r="A414" s="157"/>
      <c r="C414" s="174"/>
      <c r="D414" s="174"/>
      <c r="E414" s="64"/>
    </row>
    <row r="415">
      <c r="A415" s="157"/>
      <c r="C415" s="174"/>
      <c r="D415" s="174"/>
      <c r="E415" s="64"/>
    </row>
    <row r="416">
      <c r="A416" s="157"/>
      <c r="C416" s="174"/>
      <c r="D416" s="174"/>
      <c r="E416" s="64"/>
    </row>
    <row r="417">
      <c r="A417" s="157"/>
      <c r="C417" s="174"/>
      <c r="D417" s="174"/>
      <c r="E417" s="64"/>
    </row>
    <row r="418">
      <c r="A418" s="157"/>
      <c r="C418" s="174"/>
      <c r="D418" s="174"/>
      <c r="E418" s="64"/>
    </row>
    <row r="419">
      <c r="A419" s="157"/>
      <c r="C419" s="174"/>
      <c r="D419" s="174"/>
      <c r="E419" s="64"/>
    </row>
    <row r="420">
      <c r="A420" s="157"/>
      <c r="C420" s="174"/>
      <c r="D420" s="174"/>
      <c r="E420" s="64"/>
    </row>
    <row r="421">
      <c r="A421" s="157"/>
      <c r="C421" s="174"/>
      <c r="D421" s="174"/>
      <c r="E421" s="64"/>
    </row>
    <row r="422">
      <c r="A422" s="157"/>
      <c r="C422" s="174"/>
      <c r="D422" s="174"/>
      <c r="E422" s="64"/>
    </row>
    <row r="423">
      <c r="A423" s="157"/>
      <c r="C423" s="174"/>
      <c r="D423" s="174"/>
      <c r="E423" s="64"/>
    </row>
    <row r="424">
      <c r="A424" s="157"/>
      <c r="C424" s="174"/>
      <c r="D424" s="174"/>
      <c r="E424" s="64"/>
    </row>
    <row r="425">
      <c r="A425" s="157"/>
      <c r="C425" s="174"/>
      <c r="D425" s="174"/>
      <c r="E425" s="64"/>
    </row>
    <row r="426">
      <c r="A426" s="157"/>
      <c r="C426" s="174"/>
      <c r="D426" s="174"/>
      <c r="E426" s="64"/>
    </row>
    <row r="427">
      <c r="A427" s="157"/>
      <c r="C427" s="174"/>
      <c r="D427" s="174"/>
      <c r="E427" s="64"/>
    </row>
    <row r="428">
      <c r="A428" s="157"/>
      <c r="C428" s="174"/>
      <c r="D428" s="174"/>
      <c r="E428" s="64"/>
    </row>
    <row r="429">
      <c r="A429" s="157"/>
      <c r="C429" s="174"/>
      <c r="D429" s="174"/>
      <c r="E429" s="64"/>
    </row>
    <row r="430">
      <c r="A430" s="157"/>
      <c r="C430" s="174"/>
      <c r="D430" s="174"/>
      <c r="E430" s="64"/>
    </row>
    <row r="431">
      <c r="A431" s="157"/>
      <c r="C431" s="174"/>
      <c r="D431" s="174"/>
      <c r="E431" s="64"/>
    </row>
    <row r="432">
      <c r="A432" s="157"/>
      <c r="C432" s="174"/>
      <c r="D432" s="174"/>
      <c r="E432" s="64"/>
    </row>
    <row r="433">
      <c r="A433" s="157"/>
      <c r="C433" s="174"/>
      <c r="D433" s="174"/>
      <c r="E433" s="64"/>
    </row>
    <row r="434">
      <c r="A434" s="157"/>
      <c r="C434" s="174"/>
      <c r="D434" s="174"/>
      <c r="E434" s="64"/>
    </row>
    <row r="435">
      <c r="A435" s="157"/>
      <c r="C435" s="174"/>
      <c r="D435" s="174"/>
      <c r="E435" s="64"/>
    </row>
    <row r="436">
      <c r="A436" s="157"/>
      <c r="C436" s="174"/>
      <c r="D436" s="174"/>
      <c r="E436" s="64"/>
    </row>
    <row r="437">
      <c r="A437" s="157"/>
      <c r="C437" s="174"/>
      <c r="D437" s="174"/>
      <c r="E437" s="64"/>
    </row>
    <row r="438">
      <c r="A438" s="157"/>
      <c r="C438" s="174"/>
      <c r="D438" s="174"/>
      <c r="E438" s="64"/>
    </row>
    <row r="439">
      <c r="A439" s="157"/>
      <c r="C439" s="174"/>
      <c r="D439" s="174"/>
      <c r="E439" s="64"/>
    </row>
    <row r="440">
      <c r="A440" s="157"/>
      <c r="C440" s="174"/>
      <c r="D440" s="174"/>
      <c r="E440" s="64"/>
    </row>
    <row r="441">
      <c r="A441" s="157"/>
      <c r="C441" s="174"/>
      <c r="D441" s="174"/>
      <c r="E441" s="64"/>
    </row>
    <row r="442">
      <c r="A442" s="157"/>
      <c r="C442" s="174"/>
      <c r="D442" s="174"/>
      <c r="E442" s="64"/>
    </row>
    <row r="443">
      <c r="A443" s="157"/>
      <c r="C443" s="174"/>
      <c r="D443" s="174"/>
      <c r="E443" s="64"/>
    </row>
    <row r="444">
      <c r="A444" s="157"/>
      <c r="C444" s="174"/>
      <c r="D444" s="174"/>
      <c r="E444" s="64"/>
    </row>
    <row r="445">
      <c r="A445" s="157"/>
      <c r="C445" s="174"/>
      <c r="D445" s="174"/>
      <c r="E445" s="64"/>
    </row>
    <row r="446">
      <c r="A446" s="157"/>
      <c r="C446" s="174"/>
      <c r="D446" s="174"/>
      <c r="E446" s="64"/>
    </row>
    <row r="447">
      <c r="A447" s="157"/>
      <c r="C447" s="174"/>
      <c r="D447" s="174"/>
      <c r="E447" s="64"/>
    </row>
    <row r="448">
      <c r="A448" s="157"/>
      <c r="C448" s="174"/>
      <c r="D448" s="174"/>
      <c r="E448" s="64"/>
    </row>
    <row r="449">
      <c r="A449" s="157"/>
      <c r="C449" s="174"/>
      <c r="D449" s="174"/>
      <c r="E449" s="64"/>
    </row>
    <row r="450">
      <c r="A450" s="157"/>
      <c r="C450" s="174"/>
      <c r="D450" s="174"/>
      <c r="E450" s="64"/>
    </row>
    <row r="451">
      <c r="A451" s="157"/>
      <c r="C451" s="174"/>
      <c r="D451" s="174"/>
      <c r="E451" s="64"/>
    </row>
    <row r="452">
      <c r="A452" s="157"/>
      <c r="C452" s="174"/>
      <c r="D452" s="174"/>
      <c r="E452" s="64"/>
    </row>
    <row r="453">
      <c r="A453" s="157"/>
      <c r="C453" s="174"/>
      <c r="D453" s="174"/>
      <c r="E453" s="64"/>
    </row>
    <row r="454">
      <c r="A454" s="157"/>
      <c r="C454" s="174"/>
      <c r="D454" s="174"/>
      <c r="E454" s="64"/>
    </row>
    <row r="455">
      <c r="A455" s="157"/>
      <c r="C455" s="174"/>
      <c r="D455" s="174"/>
      <c r="E455" s="64"/>
    </row>
    <row r="456">
      <c r="A456" s="157"/>
      <c r="C456" s="174"/>
      <c r="D456" s="174"/>
      <c r="E456" s="64"/>
    </row>
    <row r="457">
      <c r="A457" s="157"/>
      <c r="C457" s="174"/>
      <c r="D457" s="174"/>
      <c r="E457" s="64"/>
    </row>
    <row r="458">
      <c r="A458" s="157"/>
      <c r="C458" s="174"/>
      <c r="D458" s="174"/>
      <c r="E458" s="64"/>
    </row>
    <row r="459">
      <c r="A459" s="157"/>
      <c r="C459" s="174"/>
      <c r="D459" s="174"/>
      <c r="E459" s="64"/>
    </row>
    <row r="460">
      <c r="A460" s="157"/>
      <c r="C460" s="174"/>
      <c r="D460" s="174"/>
      <c r="E460" s="64"/>
    </row>
    <row r="461">
      <c r="A461" s="157"/>
      <c r="C461" s="174"/>
      <c r="D461" s="174"/>
      <c r="E461" s="64"/>
    </row>
    <row r="462">
      <c r="A462" s="157"/>
      <c r="C462" s="174"/>
      <c r="D462" s="174"/>
      <c r="E462" s="64"/>
    </row>
    <row r="463">
      <c r="A463" s="157"/>
      <c r="C463" s="174"/>
      <c r="D463" s="174"/>
      <c r="E463" s="64"/>
    </row>
    <row r="464">
      <c r="A464" s="157"/>
      <c r="C464" s="174"/>
      <c r="D464" s="174"/>
      <c r="E464" s="64"/>
    </row>
    <row r="465">
      <c r="A465" s="157"/>
      <c r="C465" s="174"/>
      <c r="D465" s="174"/>
      <c r="E465" s="64"/>
    </row>
    <row r="466">
      <c r="A466" s="157"/>
      <c r="C466" s="174"/>
      <c r="D466" s="174"/>
      <c r="E466" s="64"/>
    </row>
    <row r="467">
      <c r="A467" s="157"/>
      <c r="C467" s="174"/>
      <c r="D467" s="174"/>
      <c r="E467" s="64"/>
    </row>
    <row r="468">
      <c r="A468" s="157"/>
      <c r="C468" s="174"/>
      <c r="D468" s="174"/>
      <c r="E468" s="64"/>
    </row>
    <row r="469">
      <c r="A469" s="157"/>
      <c r="C469" s="174"/>
      <c r="D469" s="174"/>
      <c r="E469" s="64"/>
    </row>
    <row r="470">
      <c r="A470" s="157"/>
      <c r="C470" s="174"/>
      <c r="D470" s="174"/>
      <c r="E470" s="64"/>
    </row>
    <row r="471">
      <c r="A471" s="157"/>
      <c r="C471" s="174"/>
      <c r="D471" s="174"/>
      <c r="E471" s="64"/>
    </row>
    <row r="472">
      <c r="A472" s="157"/>
      <c r="C472" s="174"/>
      <c r="D472" s="174"/>
      <c r="E472" s="64"/>
    </row>
    <row r="473">
      <c r="A473" s="157"/>
      <c r="C473" s="174"/>
      <c r="D473" s="174"/>
      <c r="E473" s="64"/>
    </row>
    <row r="474">
      <c r="A474" s="157"/>
      <c r="C474" s="174"/>
      <c r="D474" s="174"/>
      <c r="E474" s="64"/>
    </row>
    <row r="475">
      <c r="A475" s="157"/>
      <c r="C475" s="174"/>
      <c r="D475" s="174"/>
      <c r="E475" s="64"/>
    </row>
    <row r="476">
      <c r="A476" s="157"/>
      <c r="C476" s="174"/>
      <c r="D476" s="174"/>
      <c r="E476" s="64"/>
    </row>
    <row r="477">
      <c r="A477" s="157"/>
      <c r="C477" s="174"/>
      <c r="D477" s="174"/>
      <c r="E477" s="64"/>
    </row>
    <row r="478">
      <c r="A478" s="157"/>
      <c r="C478" s="174"/>
      <c r="D478" s="174"/>
      <c r="E478" s="64"/>
    </row>
    <row r="479">
      <c r="A479" s="157"/>
      <c r="C479" s="174"/>
      <c r="D479" s="174"/>
      <c r="E479" s="64"/>
    </row>
    <row r="480">
      <c r="A480" s="157"/>
      <c r="C480" s="174"/>
      <c r="D480" s="174"/>
      <c r="E480" s="64"/>
    </row>
    <row r="481">
      <c r="A481" s="157"/>
      <c r="C481" s="174"/>
      <c r="D481" s="174"/>
      <c r="E481" s="64"/>
    </row>
    <row r="482">
      <c r="A482" s="157"/>
      <c r="C482" s="174"/>
      <c r="D482" s="174"/>
      <c r="E482" s="64"/>
    </row>
    <row r="483">
      <c r="A483" s="157"/>
      <c r="C483" s="174"/>
      <c r="D483" s="174"/>
      <c r="E483" s="64"/>
    </row>
    <row r="484">
      <c r="A484" s="157"/>
      <c r="C484" s="174"/>
      <c r="D484" s="174"/>
      <c r="E484" s="64"/>
    </row>
    <row r="485">
      <c r="A485" s="157"/>
      <c r="C485" s="174"/>
      <c r="D485" s="174"/>
      <c r="E485" s="64"/>
    </row>
    <row r="486">
      <c r="A486" s="157"/>
      <c r="C486" s="174"/>
      <c r="D486" s="174"/>
      <c r="E486" s="64"/>
    </row>
    <row r="487">
      <c r="A487" s="157"/>
      <c r="C487" s="174"/>
      <c r="D487" s="174"/>
      <c r="E487" s="64"/>
    </row>
    <row r="488">
      <c r="A488" s="157"/>
      <c r="C488" s="174"/>
      <c r="D488" s="174"/>
      <c r="E488" s="64"/>
    </row>
    <row r="489">
      <c r="A489" s="157"/>
      <c r="C489" s="174"/>
      <c r="D489" s="174"/>
      <c r="E489" s="64"/>
    </row>
    <row r="490">
      <c r="A490" s="157"/>
      <c r="C490" s="174"/>
      <c r="D490" s="174"/>
      <c r="E490" s="64"/>
    </row>
    <row r="491">
      <c r="A491" s="157"/>
      <c r="C491" s="174"/>
      <c r="D491" s="174"/>
      <c r="E491" s="64"/>
    </row>
    <row r="492">
      <c r="A492" s="157"/>
      <c r="C492" s="174"/>
      <c r="D492" s="174"/>
      <c r="E492" s="64"/>
    </row>
    <row r="493">
      <c r="A493" s="157"/>
      <c r="C493" s="174"/>
      <c r="D493" s="174"/>
      <c r="E493" s="64"/>
    </row>
    <row r="494">
      <c r="A494" s="157"/>
      <c r="C494" s="174"/>
      <c r="D494" s="174"/>
      <c r="E494" s="64"/>
    </row>
    <row r="495">
      <c r="A495" s="157"/>
      <c r="C495" s="174"/>
      <c r="D495" s="174"/>
      <c r="E495" s="64"/>
    </row>
    <row r="496">
      <c r="A496" s="157"/>
      <c r="C496" s="174"/>
      <c r="D496" s="174"/>
      <c r="E496" s="64"/>
    </row>
    <row r="497">
      <c r="A497" s="157"/>
      <c r="C497" s="174"/>
      <c r="D497" s="174"/>
      <c r="E497" s="64"/>
    </row>
    <row r="498">
      <c r="A498" s="157"/>
      <c r="C498" s="174"/>
      <c r="D498" s="174"/>
      <c r="E498" s="64"/>
    </row>
    <row r="499">
      <c r="A499" s="157"/>
      <c r="C499" s="174"/>
      <c r="D499" s="174"/>
      <c r="E499" s="64"/>
    </row>
    <row r="500">
      <c r="A500" s="157"/>
      <c r="C500" s="174"/>
      <c r="D500" s="174"/>
      <c r="E500" s="64"/>
    </row>
    <row r="501">
      <c r="A501" s="157"/>
      <c r="C501" s="174"/>
      <c r="D501" s="174"/>
      <c r="E501" s="64"/>
    </row>
    <row r="502">
      <c r="A502" s="157"/>
      <c r="C502" s="174"/>
      <c r="D502" s="174"/>
      <c r="E502" s="64"/>
    </row>
    <row r="503">
      <c r="A503" s="157"/>
      <c r="C503" s="174"/>
      <c r="D503" s="174"/>
      <c r="E503" s="64"/>
    </row>
    <row r="504">
      <c r="A504" s="157"/>
      <c r="C504" s="174"/>
      <c r="D504" s="174"/>
      <c r="E504" s="64"/>
    </row>
    <row r="505">
      <c r="A505" s="157"/>
      <c r="C505" s="174"/>
      <c r="D505" s="174"/>
      <c r="E505" s="64"/>
    </row>
    <row r="506">
      <c r="A506" s="157"/>
      <c r="C506" s="174"/>
      <c r="D506" s="174"/>
      <c r="E506" s="64"/>
    </row>
    <row r="507">
      <c r="A507" s="157"/>
      <c r="C507" s="174"/>
      <c r="D507" s="174"/>
      <c r="E507" s="64"/>
    </row>
    <row r="508">
      <c r="A508" s="157"/>
      <c r="C508" s="174"/>
      <c r="D508" s="174"/>
      <c r="E508" s="64"/>
    </row>
    <row r="509">
      <c r="A509" s="157"/>
      <c r="C509" s="174"/>
      <c r="D509" s="174"/>
      <c r="E509" s="64"/>
    </row>
    <row r="510">
      <c r="A510" s="157"/>
      <c r="C510" s="174"/>
      <c r="D510" s="174"/>
      <c r="E510" s="64"/>
    </row>
    <row r="511">
      <c r="A511" s="157"/>
      <c r="C511" s="174"/>
      <c r="D511" s="174"/>
      <c r="E511" s="64"/>
    </row>
    <row r="512">
      <c r="A512" s="157"/>
      <c r="C512" s="174"/>
      <c r="D512" s="174"/>
      <c r="E512" s="64"/>
    </row>
    <row r="513">
      <c r="A513" s="157"/>
      <c r="C513" s="174"/>
      <c r="D513" s="174"/>
      <c r="E513" s="64"/>
    </row>
    <row r="514">
      <c r="A514" s="157"/>
      <c r="C514" s="174"/>
      <c r="D514" s="174"/>
      <c r="E514" s="64"/>
    </row>
    <row r="515">
      <c r="A515" s="157"/>
      <c r="C515" s="174"/>
      <c r="D515" s="174"/>
      <c r="E515" s="64"/>
    </row>
    <row r="516">
      <c r="A516" s="157"/>
      <c r="C516" s="174"/>
      <c r="D516" s="174"/>
      <c r="E516" s="64"/>
    </row>
    <row r="517">
      <c r="A517" s="157"/>
      <c r="C517" s="174"/>
      <c r="D517" s="174"/>
      <c r="E517" s="64"/>
    </row>
    <row r="518">
      <c r="A518" s="157"/>
      <c r="C518" s="174"/>
      <c r="D518" s="174"/>
      <c r="E518" s="64"/>
    </row>
    <row r="519">
      <c r="A519" s="157"/>
      <c r="C519" s="174"/>
      <c r="D519" s="174"/>
      <c r="E519" s="64"/>
    </row>
    <row r="520">
      <c r="A520" s="157"/>
      <c r="C520" s="174"/>
      <c r="D520" s="174"/>
      <c r="E520" s="64"/>
    </row>
    <row r="521">
      <c r="A521" s="157"/>
      <c r="C521" s="174"/>
      <c r="D521" s="174"/>
      <c r="E521" s="64"/>
    </row>
    <row r="522">
      <c r="A522" s="157"/>
      <c r="C522" s="174"/>
      <c r="D522" s="174"/>
      <c r="E522" s="64"/>
    </row>
    <row r="523">
      <c r="A523" s="157"/>
      <c r="C523" s="174"/>
      <c r="D523" s="174"/>
      <c r="E523" s="64"/>
    </row>
    <row r="524">
      <c r="A524" s="157"/>
      <c r="C524" s="174"/>
      <c r="D524" s="174"/>
      <c r="E524" s="64"/>
    </row>
    <row r="525">
      <c r="A525" s="157"/>
      <c r="C525" s="174"/>
      <c r="D525" s="174"/>
      <c r="E525" s="64"/>
    </row>
    <row r="526">
      <c r="A526" s="157"/>
      <c r="C526" s="174"/>
      <c r="D526" s="174"/>
      <c r="E526" s="64"/>
    </row>
    <row r="527">
      <c r="A527" s="157"/>
      <c r="C527" s="174"/>
      <c r="D527" s="174"/>
      <c r="E527" s="64"/>
    </row>
    <row r="528">
      <c r="A528" s="157"/>
      <c r="C528" s="174"/>
      <c r="D528" s="174"/>
      <c r="E528" s="64"/>
    </row>
    <row r="529">
      <c r="A529" s="157"/>
      <c r="C529" s="174"/>
      <c r="D529" s="174"/>
      <c r="E529" s="64"/>
    </row>
    <row r="530">
      <c r="A530" s="157"/>
      <c r="C530" s="174"/>
      <c r="D530" s="174"/>
      <c r="E530" s="64"/>
    </row>
    <row r="531">
      <c r="A531" s="157"/>
      <c r="C531" s="174"/>
      <c r="D531" s="174"/>
      <c r="E531" s="64"/>
    </row>
    <row r="532">
      <c r="A532" s="157"/>
      <c r="C532" s="174"/>
      <c r="D532" s="174"/>
      <c r="E532" s="64"/>
    </row>
    <row r="533">
      <c r="A533" s="157"/>
      <c r="C533" s="174"/>
      <c r="D533" s="174"/>
      <c r="E533" s="64"/>
    </row>
    <row r="534">
      <c r="A534" s="157"/>
      <c r="C534" s="174"/>
      <c r="D534" s="174"/>
      <c r="E534" s="64"/>
    </row>
    <row r="535">
      <c r="A535" s="157"/>
      <c r="C535" s="174"/>
      <c r="D535" s="174"/>
      <c r="E535" s="64"/>
    </row>
    <row r="536">
      <c r="A536" s="157"/>
      <c r="C536" s="174"/>
      <c r="D536" s="174"/>
      <c r="E536" s="64"/>
    </row>
    <row r="537">
      <c r="A537" s="157"/>
      <c r="C537" s="174"/>
      <c r="D537" s="174"/>
      <c r="E537" s="64"/>
    </row>
    <row r="538">
      <c r="A538" s="157"/>
      <c r="C538" s="174"/>
      <c r="D538" s="174"/>
      <c r="E538" s="64"/>
    </row>
    <row r="539">
      <c r="A539" s="157"/>
      <c r="C539" s="174"/>
      <c r="D539" s="174"/>
      <c r="E539" s="64"/>
    </row>
    <row r="540">
      <c r="A540" s="157"/>
      <c r="C540" s="174"/>
      <c r="D540" s="174"/>
      <c r="E540" s="64"/>
    </row>
    <row r="541">
      <c r="A541" s="157"/>
      <c r="C541" s="174"/>
      <c r="D541" s="174"/>
      <c r="E541" s="64"/>
    </row>
    <row r="542">
      <c r="A542" s="157"/>
      <c r="C542" s="174"/>
      <c r="D542" s="174"/>
      <c r="E542" s="64"/>
    </row>
    <row r="543">
      <c r="A543" s="157"/>
      <c r="C543" s="174"/>
      <c r="D543" s="174"/>
      <c r="E543" s="64"/>
    </row>
    <row r="544">
      <c r="A544" s="157"/>
      <c r="C544" s="174"/>
      <c r="D544" s="174"/>
      <c r="E544" s="64"/>
    </row>
    <row r="545">
      <c r="A545" s="157"/>
      <c r="C545" s="174"/>
      <c r="D545" s="174"/>
      <c r="E545" s="64"/>
    </row>
    <row r="546">
      <c r="A546" s="157"/>
      <c r="C546" s="174"/>
      <c r="D546" s="174"/>
      <c r="E546" s="64"/>
    </row>
    <row r="547">
      <c r="A547" s="157"/>
      <c r="C547" s="174"/>
      <c r="D547" s="174"/>
      <c r="E547" s="64"/>
    </row>
    <row r="548">
      <c r="A548" s="157"/>
      <c r="C548" s="174"/>
      <c r="D548" s="174"/>
      <c r="E548" s="64"/>
    </row>
    <row r="549">
      <c r="A549" s="157"/>
      <c r="C549" s="174"/>
      <c r="D549" s="174"/>
      <c r="E549" s="64"/>
    </row>
    <row r="550">
      <c r="A550" s="157"/>
      <c r="C550" s="174"/>
      <c r="D550" s="174"/>
      <c r="E550" s="64"/>
    </row>
    <row r="551">
      <c r="A551" s="157"/>
      <c r="C551" s="174"/>
      <c r="D551" s="174"/>
      <c r="E551" s="64"/>
    </row>
    <row r="552">
      <c r="A552" s="157"/>
      <c r="C552" s="174"/>
      <c r="D552" s="174"/>
      <c r="E552" s="64"/>
    </row>
    <row r="553">
      <c r="A553" s="157"/>
      <c r="C553" s="174"/>
      <c r="D553" s="174"/>
      <c r="E553" s="64"/>
    </row>
    <row r="554">
      <c r="A554" s="157"/>
      <c r="C554" s="174"/>
      <c r="D554" s="174"/>
      <c r="E554" s="64"/>
    </row>
    <row r="555">
      <c r="A555" s="157"/>
      <c r="C555" s="174"/>
      <c r="D555" s="174"/>
      <c r="E555" s="64"/>
    </row>
    <row r="556">
      <c r="A556" s="157"/>
      <c r="C556" s="174"/>
      <c r="D556" s="174"/>
      <c r="E556" s="64"/>
    </row>
    <row r="557">
      <c r="A557" s="157"/>
      <c r="C557" s="174"/>
      <c r="D557" s="174"/>
      <c r="E557" s="64"/>
    </row>
    <row r="558">
      <c r="A558" s="157"/>
      <c r="C558" s="174"/>
      <c r="D558" s="174"/>
      <c r="E558" s="64"/>
    </row>
    <row r="559">
      <c r="A559" s="157"/>
      <c r="C559" s="174"/>
      <c r="D559" s="174"/>
      <c r="E559" s="64"/>
    </row>
    <row r="560">
      <c r="A560" s="157"/>
      <c r="C560" s="174"/>
      <c r="D560" s="174"/>
      <c r="E560" s="64"/>
    </row>
    <row r="561">
      <c r="A561" s="157"/>
      <c r="C561" s="174"/>
      <c r="D561" s="174"/>
      <c r="E561" s="64"/>
    </row>
    <row r="562">
      <c r="A562" s="157"/>
      <c r="C562" s="174"/>
      <c r="D562" s="174"/>
      <c r="E562" s="64"/>
    </row>
    <row r="563">
      <c r="A563" s="157"/>
      <c r="C563" s="174"/>
      <c r="D563" s="174"/>
      <c r="E563" s="64"/>
    </row>
    <row r="564">
      <c r="A564" s="157"/>
      <c r="C564" s="174"/>
      <c r="D564" s="174"/>
      <c r="E564" s="64"/>
    </row>
    <row r="565">
      <c r="A565" s="157"/>
      <c r="C565" s="174"/>
      <c r="D565" s="174"/>
      <c r="E565" s="64"/>
    </row>
    <row r="566">
      <c r="A566" s="157"/>
      <c r="C566" s="174"/>
      <c r="D566" s="174"/>
      <c r="E566" s="64"/>
    </row>
    <row r="567">
      <c r="A567" s="157"/>
      <c r="C567" s="174"/>
      <c r="D567" s="174"/>
      <c r="E567" s="64"/>
    </row>
    <row r="568">
      <c r="A568" s="157"/>
      <c r="C568" s="174"/>
      <c r="D568" s="174"/>
      <c r="E568" s="64"/>
    </row>
    <row r="569">
      <c r="A569" s="157"/>
      <c r="C569" s="174"/>
      <c r="D569" s="174"/>
      <c r="E569" s="64"/>
    </row>
    <row r="570">
      <c r="A570" s="157"/>
      <c r="C570" s="174"/>
      <c r="D570" s="174"/>
      <c r="E570" s="64"/>
    </row>
    <row r="571">
      <c r="A571" s="157"/>
      <c r="C571" s="174"/>
      <c r="D571" s="174"/>
      <c r="E571" s="64"/>
    </row>
    <row r="572">
      <c r="A572" s="157"/>
      <c r="C572" s="174"/>
      <c r="D572" s="174"/>
      <c r="E572" s="64"/>
    </row>
    <row r="573">
      <c r="A573" s="157"/>
      <c r="C573" s="174"/>
      <c r="D573" s="174"/>
      <c r="E573" s="64"/>
    </row>
    <row r="574">
      <c r="A574" s="157"/>
      <c r="C574" s="174"/>
      <c r="D574" s="174"/>
      <c r="E574" s="64"/>
    </row>
    <row r="575">
      <c r="A575" s="157"/>
      <c r="C575" s="174"/>
      <c r="D575" s="174"/>
      <c r="E575" s="64"/>
    </row>
    <row r="576">
      <c r="A576" s="157"/>
      <c r="C576" s="174"/>
      <c r="D576" s="174"/>
      <c r="E576" s="64"/>
    </row>
    <row r="577">
      <c r="A577" s="157"/>
      <c r="C577" s="174"/>
      <c r="D577" s="174"/>
      <c r="E577" s="64"/>
    </row>
    <row r="578">
      <c r="A578" s="157"/>
      <c r="C578" s="174"/>
      <c r="D578" s="174"/>
      <c r="E578" s="64"/>
    </row>
    <row r="579">
      <c r="A579" s="157"/>
      <c r="C579" s="174"/>
      <c r="D579" s="174"/>
      <c r="E579" s="64"/>
    </row>
    <row r="580">
      <c r="A580" s="157"/>
      <c r="C580" s="174"/>
      <c r="D580" s="174"/>
      <c r="E580" s="64"/>
    </row>
    <row r="581">
      <c r="A581" s="157"/>
      <c r="C581" s="174"/>
      <c r="D581" s="174"/>
      <c r="E581" s="64"/>
    </row>
    <row r="582">
      <c r="A582" s="157"/>
      <c r="C582" s="174"/>
      <c r="D582" s="174"/>
      <c r="E582" s="64"/>
    </row>
    <row r="583">
      <c r="A583" s="157"/>
      <c r="C583" s="174"/>
      <c r="D583" s="174"/>
      <c r="E583" s="64"/>
    </row>
    <row r="584">
      <c r="A584" s="157"/>
      <c r="C584" s="174"/>
      <c r="D584" s="174"/>
      <c r="E584" s="64"/>
    </row>
    <row r="585">
      <c r="A585" s="157"/>
      <c r="C585" s="174"/>
      <c r="D585" s="174"/>
      <c r="E585" s="64"/>
    </row>
    <row r="586">
      <c r="A586" s="157"/>
      <c r="C586" s="174"/>
      <c r="D586" s="174"/>
      <c r="E586" s="64"/>
    </row>
    <row r="587">
      <c r="A587" s="157"/>
      <c r="C587" s="174"/>
      <c r="D587" s="174"/>
      <c r="E587" s="64"/>
    </row>
    <row r="588">
      <c r="A588" s="157"/>
      <c r="C588" s="174"/>
      <c r="D588" s="174"/>
      <c r="E588" s="64"/>
    </row>
    <row r="589">
      <c r="A589" s="157"/>
      <c r="C589" s="174"/>
      <c r="D589" s="174"/>
      <c r="E589" s="64"/>
    </row>
    <row r="590">
      <c r="A590" s="157"/>
      <c r="C590" s="174"/>
      <c r="D590" s="174"/>
      <c r="E590" s="64"/>
    </row>
    <row r="591">
      <c r="A591" s="157"/>
      <c r="C591" s="174"/>
      <c r="D591" s="174"/>
      <c r="E591" s="64"/>
    </row>
    <row r="592">
      <c r="A592" s="157"/>
      <c r="C592" s="174"/>
      <c r="D592" s="174"/>
      <c r="E592" s="64"/>
    </row>
    <row r="593">
      <c r="A593" s="157"/>
      <c r="C593" s="174"/>
      <c r="D593" s="174"/>
      <c r="E593" s="64"/>
    </row>
    <row r="594">
      <c r="A594" s="157"/>
      <c r="C594" s="174"/>
      <c r="D594" s="174"/>
      <c r="E594" s="64"/>
    </row>
    <row r="595">
      <c r="A595" s="157"/>
      <c r="C595" s="174"/>
      <c r="D595" s="174"/>
      <c r="E595" s="64"/>
    </row>
    <row r="596">
      <c r="A596" s="157"/>
      <c r="C596" s="174"/>
      <c r="D596" s="174"/>
      <c r="E596" s="64"/>
    </row>
    <row r="597">
      <c r="A597" s="157"/>
      <c r="C597" s="174"/>
      <c r="D597" s="174"/>
      <c r="E597" s="64"/>
    </row>
    <row r="598">
      <c r="A598" s="157"/>
      <c r="C598" s="174"/>
      <c r="D598" s="174"/>
      <c r="E598" s="64"/>
    </row>
    <row r="599">
      <c r="A599" s="157"/>
      <c r="C599" s="174"/>
      <c r="D599" s="174"/>
      <c r="E599" s="64"/>
    </row>
    <row r="600">
      <c r="A600" s="157"/>
      <c r="C600" s="174"/>
      <c r="D600" s="174"/>
      <c r="E600" s="64"/>
    </row>
    <row r="601">
      <c r="A601" s="157"/>
      <c r="C601" s="174"/>
      <c r="D601" s="174"/>
      <c r="E601" s="64"/>
    </row>
    <row r="602">
      <c r="A602" s="157"/>
      <c r="C602" s="174"/>
      <c r="D602" s="174"/>
      <c r="E602" s="64"/>
    </row>
    <row r="603">
      <c r="A603" s="157"/>
      <c r="C603" s="174"/>
      <c r="D603" s="174"/>
      <c r="E603" s="64"/>
    </row>
    <row r="604">
      <c r="A604" s="157"/>
      <c r="C604" s="174"/>
      <c r="D604" s="174"/>
      <c r="E604" s="64"/>
    </row>
    <row r="605">
      <c r="A605" s="157"/>
      <c r="C605" s="174"/>
      <c r="D605" s="174"/>
      <c r="E605" s="64"/>
    </row>
    <row r="606">
      <c r="A606" s="157"/>
      <c r="C606" s="174"/>
      <c r="D606" s="174"/>
      <c r="E606" s="64"/>
    </row>
    <row r="607">
      <c r="A607" s="157"/>
      <c r="C607" s="174"/>
      <c r="D607" s="174"/>
      <c r="E607" s="64"/>
    </row>
    <row r="608">
      <c r="A608" s="157"/>
      <c r="C608" s="174"/>
      <c r="D608" s="174"/>
      <c r="E608" s="64"/>
    </row>
    <row r="609">
      <c r="A609" s="157"/>
      <c r="C609" s="174"/>
      <c r="D609" s="174"/>
      <c r="E609" s="64"/>
    </row>
    <row r="610">
      <c r="A610" s="157"/>
      <c r="C610" s="174"/>
      <c r="D610" s="174"/>
      <c r="E610" s="64"/>
    </row>
    <row r="611">
      <c r="A611" s="157"/>
      <c r="C611" s="174"/>
      <c r="D611" s="174"/>
      <c r="E611" s="64"/>
    </row>
    <row r="612">
      <c r="A612" s="157"/>
      <c r="C612" s="174"/>
      <c r="D612" s="174"/>
      <c r="E612" s="64"/>
    </row>
    <row r="613">
      <c r="A613" s="157"/>
      <c r="C613" s="174"/>
      <c r="D613" s="174"/>
      <c r="E613" s="64"/>
    </row>
    <row r="614">
      <c r="A614" s="157"/>
      <c r="C614" s="174"/>
      <c r="D614" s="174"/>
      <c r="E614" s="64"/>
    </row>
    <row r="615">
      <c r="A615" s="157"/>
      <c r="C615" s="174"/>
      <c r="D615" s="174"/>
      <c r="E615" s="64"/>
    </row>
    <row r="616">
      <c r="A616" s="157"/>
      <c r="C616" s="174"/>
      <c r="D616" s="174"/>
      <c r="E616" s="64"/>
    </row>
    <row r="617">
      <c r="A617" s="157"/>
      <c r="C617" s="174"/>
      <c r="D617" s="174"/>
      <c r="E617" s="64"/>
    </row>
    <row r="618">
      <c r="A618" s="157"/>
      <c r="C618" s="174"/>
      <c r="D618" s="174"/>
      <c r="E618" s="64"/>
    </row>
    <row r="619">
      <c r="A619" s="157"/>
      <c r="C619" s="174"/>
      <c r="D619" s="174"/>
      <c r="E619" s="64"/>
    </row>
    <row r="620">
      <c r="A620" s="157"/>
      <c r="C620" s="174"/>
      <c r="D620" s="174"/>
      <c r="E620" s="64"/>
    </row>
    <row r="621">
      <c r="A621" s="157"/>
      <c r="C621" s="174"/>
      <c r="D621" s="174"/>
      <c r="E621" s="64"/>
    </row>
    <row r="622">
      <c r="A622" s="157"/>
      <c r="C622" s="174"/>
      <c r="D622" s="174"/>
      <c r="E622" s="64"/>
    </row>
    <row r="623">
      <c r="A623" s="157"/>
      <c r="C623" s="174"/>
      <c r="D623" s="174"/>
      <c r="E623" s="64"/>
    </row>
    <row r="624">
      <c r="A624" s="157"/>
      <c r="C624" s="174"/>
      <c r="D624" s="174"/>
      <c r="E624" s="64"/>
    </row>
    <row r="625">
      <c r="A625" s="157"/>
      <c r="C625" s="174"/>
      <c r="D625" s="174"/>
      <c r="E625" s="64"/>
    </row>
    <row r="626">
      <c r="A626" s="157"/>
      <c r="C626" s="174"/>
      <c r="D626" s="174"/>
      <c r="E626" s="64"/>
    </row>
    <row r="627">
      <c r="A627" s="157"/>
      <c r="C627" s="174"/>
      <c r="D627" s="174"/>
      <c r="E627" s="64"/>
    </row>
    <row r="628">
      <c r="A628" s="157"/>
      <c r="C628" s="174"/>
      <c r="D628" s="174"/>
      <c r="E628" s="64"/>
    </row>
    <row r="629">
      <c r="A629" s="157"/>
      <c r="C629" s="174"/>
      <c r="D629" s="174"/>
      <c r="E629" s="64"/>
    </row>
    <row r="630">
      <c r="A630" s="157"/>
      <c r="C630" s="174"/>
      <c r="D630" s="174"/>
      <c r="E630" s="64"/>
    </row>
    <row r="631">
      <c r="A631" s="157"/>
      <c r="C631" s="174"/>
      <c r="D631" s="174"/>
      <c r="E631" s="64"/>
    </row>
    <row r="632">
      <c r="A632" s="157"/>
      <c r="C632" s="174"/>
      <c r="D632" s="174"/>
      <c r="E632" s="64"/>
    </row>
    <row r="633">
      <c r="A633" s="157"/>
      <c r="C633" s="174"/>
      <c r="D633" s="174"/>
      <c r="E633" s="64"/>
    </row>
    <row r="634">
      <c r="A634" s="157"/>
      <c r="C634" s="174"/>
      <c r="D634" s="174"/>
      <c r="E634" s="64"/>
    </row>
    <row r="635">
      <c r="A635" s="157"/>
      <c r="C635" s="174"/>
      <c r="D635" s="174"/>
      <c r="E635" s="64"/>
    </row>
    <row r="636">
      <c r="A636" s="157"/>
      <c r="C636" s="174"/>
      <c r="D636" s="174"/>
      <c r="E636" s="64"/>
    </row>
    <row r="637">
      <c r="A637" s="157"/>
      <c r="C637" s="174"/>
      <c r="D637" s="174"/>
      <c r="E637" s="64"/>
    </row>
    <row r="638">
      <c r="A638" s="157"/>
      <c r="C638" s="174"/>
      <c r="D638" s="174"/>
      <c r="E638" s="64"/>
    </row>
    <row r="639">
      <c r="A639" s="157"/>
      <c r="C639" s="174"/>
      <c r="D639" s="174"/>
      <c r="E639" s="64"/>
    </row>
    <row r="640">
      <c r="A640" s="157"/>
      <c r="C640" s="174"/>
      <c r="D640" s="174"/>
      <c r="E640" s="64"/>
    </row>
    <row r="641">
      <c r="A641" s="157"/>
      <c r="C641" s="174"/>
      <c r="D641" s="174"/>
      <c r="E641" s="64"/>
    </row>
    <row r="642">
      <c r="A642" s="157"/>
      <c r="C642" s="174"/>
      <c r="D642" s="174"/>
      <c r="E642" s="64"/>
    </row>
    <row r="643">
      <c r="A643" s="157"/>
      <c r="C643" s="174"/>
      <c r="D643" s="174"/>
      <c r="E643" s="64"/>
    </row>
    <row r="644">
      <c r="A644" s="157"/>
      <c r="C644" s="174"/>
      <c r="D644" s="174"/>
      <c r="E644" s="64"/>
    </row>
    <row r="645">
      <c r="A645" s="157"/>
      <c r="C645" s="174"/>
      <c r="D645" s="174"/>
      <c r="E645" s="64"/>
    </row>
    <row r="646">
      <c r="A646" s="157"/>
      <c r="C646" s="174"/>
      <c r="D646" s="174"/>
      <c r="E646" s="64"/>
    </row>
    <row r="647">
      <c r="A647" s="157"/>
      <c r="C647" s="174"/>
      <c r="D647" s="174"/>
      <c r="E647" s="64"/>
    </row>
    <row r="648">
      <c r="A648" s="157"/>
      <c r="C648" s="174"/>
      <c r="D648" s="174"/>
      <c r="E648" s="64"/>
    </row>
    <row r="649">
      <c r="A649" s="157"/>
      <c r="C649" s="174"/>
      <c r="D649" s="174"/>
      <c r="E649" s="64"/>
    </row>
    <row r="650">
      <c r="A650" s="157"/>
      <c r="C650" s="174"/>
      <c r="D650" s="174"/>
      <c r="E650" s="64"/>
    </row>
    <row r="651">
      <c r="A651" s="157"/>
      <c r="C651" s="174"/>
      <c r="D651" s="174"/>
      <c r="E651" s="64"/>
    </row>
    <row r="652">
      <c r="A652" s="157"/>
      <c r="C652" s="174"/>
      <c r="D652" s="174"/>
      <c r="E652" s="64"/>
    </row>
    <row r="653">
      <c r="A653" s="157"/>
      <c r="C653" s="174"/>
      <c r="D653" s="174"/>
      <c r="E653" s="64"/>
    </row>
    <row r="654">
      <c r="A654" s="157"/>
      <c r="C654" s="174"/>
      <c r="D654" s="174"/>
      <c r="E654" s="64"/>
    </row>
    <row r="655">
      <c r="A655" s="157"/>
      <c r="C655" s="174"/>
      <c r="D655" s="174"/>
      <c r="E655" s="64"/>
    </row>
    <row r="656">
      <c r="A656" s="157"/>
      <c r="C656" s="174"/>
      <c r="D656" s="174"/>
      <c r="E656" s="64"/>
    </row>
    <row r="657">
      <c r="A657" s="157"/>
      <c r="C657" s="174"/>
      <c r="D657" s="174"/>
      <c r="E657" s="64"/>
    </row>
    <row r="658">
      <c r="A658" s="157"/>
      <c r="C658" s="174"/>
      <c r="D658" s="174"/>
      <c r="E658" s="64"/>
    </row>
    <row r="659">
      <c r="A659" s="157"/>
      <c r="C659" s="174"/>
      <c r="D659" s="174"/>
      <c r="E659" s="64"/>
    </row>
    <row r="660">
      <c r="A660" s="157"/>
      <c r="C660" s="174"/>
      <c r="D660" s="174"/>
      <c r="E660" s="64"/>
    </row>
    <row r="661">
      <c r="A661" s="157"/>
      <c r="C661" s="174"/>
      <c r="D661" s="174"/>
      <c r="E661" s="64"/>
    </row>
    <row r="662">
      <c r="A662" s="157"/>
      <c r="C662" s="174"/>
      <c r="D662" s="174"/>
      <c r="E662" s="64"/>
    </row>
    <row r="663">
      <c r="A663" s="157"/>
      <c r="C663" s="174"/>
      <c r="D663" s="174"/>
      <c r="E663" s="64"/>
    </row>
    <row r="664">
      <c r="A664" s="157"/>
      <c r="C664" s="174"/>
      <c r="D664" s="174"/>
      <c r="E664" s="64"/>
    </row>
    <row r="665">
      <c r="A665" s="157"/>
      <c r="C665" s="174"/>
      <c r="D665" s="174"/>
      <c r="E665" s="64"/>
    </row>
    <row r="666">
      <c r="A666" s="157"/>
      <c r="C666" s="174"/>
      <c r="D666" s="174"/>
      <c r="E666" s="64"/>
    </row>
    <row r="667">
      <c r="A667" s="157"/>
      <c r="C667" s="174"/>
      <c r="D667" s="174"/>
      <c r="E667" s="64"/>
    </row>
    <row r="668">
      <c r="A668" s="157"/>
      <c r="C668" s="174"/>
      <c r="D668" s="174"/>
      <c r="E668" s="64"/>
    </row>
    <row r="669">
      <c r="A669" s="157"/>
      <c r="C669" s="174"/>
      <c r="D669" s="174"/>
      <c r="E669" s="64"/>
    </row>
    <row r="670">
      <c r="A670" s="157"/>
      <c r="C670" s="174"/>
      <c r="D670" s="174"/>
      <c r="E670" s="64"/>
    </row>
    <row r="671">
      <c r="A671" s="157"/>
      <c r="C671" s="174"/>
      <c r="D671" s="174"/>
      <c r="E671" s="64"/>
    </row>
    <row r="672">
      <c r="A672" s="157"/>
      <c r="C672" s="174"/>
      <c r="D672" s="174"/>
      <c r="E672" s="64"/>
    </row>
    <row r="673">
      <c r="A673" s="157"/>
      <c r="C673" s="174"/>
      <c r="D673" s="174"/>
      <c r="E673" s="64"/>
    </row>
    <row r="674">
      <c r="A674" s="157"/>
      <c r="C674" s="174"/>
      <c r="D674" s="174"/>
      <c r="E674" s="64"/>
    </row>
    <row r="675">
      <c r="A675" s="157"/>
      <c r="C675" s="174"/>
      <c r="D675" s="174"/>
      <c r="E675" s="64"/>
    </row>
    <row r="676">
      <c r="A676" s="157"/>
      <c r="C676" s="174"/>
      <c r="D676" s="174"/>
      <c r="E676" s="64"/>
    </row>
    <row r="677">
      <c r="A677" s="157"/>
      <c r="C677" s="174"/>
      <c r="D677" s="174"/>
      <c r="E677" s="64"/>
    </row>
    <row r="678">
      <c r="A678" s="157"/>
      <c r="C678" s="174"/>
      <c r="D678" s="174"/>
      <c r="E678" s="64"/>
    </row>
    <row r="679">
      <c r="A679" s="157"/>
      <c r="C679" s="174"/>
      <c r="D679" s="174"/>
      <c r="E679" s="64"/>
    </row>
    <row r="680">
      <c r="A680" s="157"/>
      <c r="C680" s="174"/>
      <c r="D680" s="174"/>
      <c r="E680" s="64"/>
    </row>
    <row r="681">
      <c r="A681" s="157"/>
      <c r="C681" s="174"/>
      <c r="D681" s="174"/>
      <c r="E681" s="64"/>
    </row>
    <row r="682">
      <c r="A682" s="157"/>
      <c r="C682" s="174"/>
      <c r="D682" s="174"/>
      <c r="E682" s="64"/>
    </row>
    <row r="683">
      <c r="A683" s="157"/>
      <c r="C683" s="174"/>
      <c r="D683" s="174"/>
      <c r="E683" s="64"/>
    </row>
    <row r="684">
      <c r="A684" s="157"/>
      <c r="C684" s="174"/>
      <c r="D684" s="174"/>
      <c r="E684" s="64"/>
    </row>
    <row r="685">
      <c r="A685" s="157"/>
      <c r="C685" s="174"/>
      <c r="D685" s="174"/>
      <c r="E685" s="64"/>
    </row>
    <row r="686">
      <c r="A686" s="157"/>
      <c r="C686" s="174"/>
      <c r="D686" s="174"/>
      <c r="E686" s="64"/>
    </row>
    <row r="687">
      <c r="A687" s="157"/>
      <c r="C687" s="174"/>
      <c r="D687" s="174"/>
      <c r="E687" s="64"/>
    </row>
    <row r="688">
      <c r="A688" s="157"/>
      <c r="C688" s="174"/>
      <c r="D688" s="174"/>
      <c r="E688" s="64"/>
    </row>
    <row r="689">
      <c r="A689" s="157"/>
      <c r="C689" s="174"/>
      <c r="D689" s="174"/>
      <c r="E689" s="64"/>
    </row>
    <row r="690">
      <c r="A690" s="157"/>
      <c r="C690" s="174"/>
      <c r="D690" s="174"/>
      <c r="E690" s="64"/>
    </row>
    <row r="691">
      <c r="A691" s="157"/>
      <c r="C691" s="174"/>
      <c r="D691" s="174"/>
      <c r="E691" s="64"/>
    </row>
    <row r="692">
      <c r="A692" s="157"/>
      <c r="C692" s="174"/>
      <c r="D692" s="174"/>
      <c r="E692" s="64"/>
    </row>
    <row r="693">
      <c r="A693" s="157"/>
      <c r="C693" s="174"/>
      <c r="D693" s="174"/>
      <c r="E693" s="64"/>
    </row>
    <row r="694">
      <c r="A694" s="157"/>
      <c r="C694" s="174"/>
      <c r="D694" s="174"/>
      <c r="E694" s="64"/>
    </row>
    <row r="695">
      <c r="A695" s="157"/>
      <c r="C695" s="174"/>
      <c r="D695" s="174"/>
      <c r="E695" s="64"/>
    </row>
    <row r="696">
      <c r="A696" s="157"/>
      <c r="C696" s="174"/>
      <c r="D696" s="174"/>
      <c r="E696" s="64"/>
    </row>
    <row r="697">
      <c r="A697" s="157"/>
      <c r="C697" s="174"/>
      <c r="D697" s="174"/>
      <c r="E697" s="64"/>
    </row>
    <row r="698">
      <c r="A698" s="157"/>
      <c r="C698" s="174"/>
      <c r="D698" s="174"/>
      <c r="E698" s="64"/>
    </row>
    <row r="699">
      <c r="A699" s="157"/>
      <c r="C699" s="174"/>
      <c r="D699" s="174"/>
      <c r="E699" s="64"/>
    </row>
    <row r="700">
      <c r="A700" s="157"/>
      <c r="C700" s="174"/>
      <c r="D700" s="174"/>
      <c r="E700" s="64"/>
    </row>
    <row r="701">
      <c r="A701" s="157"/>
      <c r="C701" s="174"/>
      <c r="D701" s="174"/>
      <c r="E701" s="64"/>
    </row>
    <row r="702">
      <c r="A702" s="157"/>
      <c r="C702" s="174"/>
      <c r="D702" s="174"/>
      <c r="E702" s="64"/>
    </row>
    <row r="703">
      <c r="A703" s="157"/>
      <c r="C703" s="174"/>
      <c r="D703" s="174"/>
      <c r="E703" s="64"/>
    </row>
    <row r="704">
      <c r="A704" s="157"/>
      <c r="C704" s="174"/>
      <c r="D704" s="174"/>
      <c r="E704" s="64"/>
    </row>
    <row r="705">
      <c r="A705" s="157"/>
      <c r="C705" s="174"/>
      <c r="D705" s="174"/>
      <c r="E705" s="64"/>
    </row>
    <row r="706">
      <c r="A706" s="157"/>
      <c r="C706" s="174"/>
      <c r="D706" s="174"/>
      <c r="E706" s="64"/>
    </row>
    <row r="707">
      <c r="A707" s="157"/>
      <c r="C707" s="174"/>
      <c r="D707" s="174"/>
      <c r="E707" s="64"/>
    </row>
    <row r="708">
      <c r="A708" s="157"/>
      <c r="C708" s="174"/>
      <c r="D708" s="174"/>
      <c r="E708" s="64"/>
    </row>
    <row r="709">
      <c r="A709" s="157"/>
      <c r="C709" s="174"/>
      <c r="D709" s="174"/>
      <c r="E709" s="64"/>
    </row>
    <row r="710">
      <c r="A710" s="157"/>
      <c r="C710" s="174"/>
      <c r="D710" s="174"/>
      <c r="E710" s="64"/>
    </row>
    <row r="711">
      <c r="A711" s="157"/>
      <c r="C711" s="174"/>
      <c r="D711" s="174"/>
      <c r="E711" s="64"/>
    </row>
    <row r="712">
      <c r="A712" s="157"/>
      <c r="C712" s="174"/>
      <c r="D712" s="174"/>
      <c r="E712" s="64"/>
    </row>
    <row r="713">
      <c r="A713" s="157"/>
      <c r="C713" s="174"/>
      <c r="D713" s="174"/>
      <c r="E713" s="64"/>
    </row>
    <row r="714">
      <c r="A714" s="157"/>
      <c r="C714" s="174"/>
      <c r="D714" s="174"/>
      <c r="E714" s="64"/>
    </row>
    <row r="715">
      <c r="A715" s="157"/>
      <c r="C715" s="174"/>
      <c r="D715" s="174"/>
      <c r="E715" s="64"/>
    </row>
    <row r="716">
      <c r="A716" s="157"/>
      <c r="C716" s="174"/>
      <c r="D716" s="174"/>
      <c r="E716" s="64"/>
    </row>
    <row r="717">
      <c r="A717" s="157"/>
      <c r="C717" s="174"/>
      <c r="D717" s="174"/>
      <c r="E717" s="64"/>
    </row>
    <row r="718">
      <c r="A718" s="157"/>
      <c r="C718" s="174"/>
      <c r="D718" s="174"/>
      <c r="E718" s="64"/>
    </row>
    <row r="719">
      <c r="A719" s="157"/>
      <c r="C719" s="174"/>
      <c r="D719" s="174"/>
      <c r="E719" s="64"/>
    </row>
    <row r="720">
      <c r="A720" s="157"/>
      <c r="C720" s="174"/>
      <c r="D720" s="174"/>
      <c r="E720" s="64"/>
    </row>
    <row r="721">
      <c r="A721" s="157"/>
      <c r="C721" s="174"/>
      <c r="D721" s="174"/>
      <c r="E721" s="64"/>
    </row>
    <row r="722">
      <c r="A722" s="157"/>
      <c r="C722" s="174"/>
      <c r="D722" s="174"/>
      <c r="E722" s="64"/>
    </row>
    <row r="723">
      <c r="A723" s="157"/>
      <c r="C723" s="174"/>
      <c r="D723" s="174"/>
      <c r="E723" s="64"/>
    </row>
    <row r="724">
      <c r="A724" s="157"/>
      <c r="C724" s="174"/>
      <c r="D724" s="174"/>
      <c r="E724" s="64"/>
    </row>
    <row r="725">
      <c r="A725" s="157"/>
      <c r="C725" s="174"/>
      <c r="D725" s="174"/>
      <c r="E725" s="64"/>
    </row>
    <row r="726">
      <c r="A726" s="157"/>
      <c r="C726" s="174"/>
      <c r="D726" s="174"/>
      <c r="E726" s="64"/>
    </row>
    <row r="727">
      <c r="A727" s="157"/>
      <c r="C727" s="174"/>
      <c r="D727" s="174"/>
      <c r="E727" s="64"/>
    </row>
    <row r="728">
      <c r="A728" s="157"/>
      <c r="C728" s="174"/>
      <c r="D728" s="174"/>
      <c r="E728" s="64"/>
    </row>
    <row r="729">
      <c r="A729" s="157"/>
      <c r="C729" s="174"/>
      <c r="D729" s="174"/>
      <c r="E729" s="64"/>
    </row>
    <row r="730">
      <c r="A730" s="157"/>
      <c r="C730" s="174"/>
      <c r="D730" s="174"/>
      <c r="E730" s="64"/>
    </row>
    <row r="731">
      <c r="A731" s="157"/>
      <c r="C731" s="174"/>
      <c r="D731" s="174"/>
      <c r="E731" s="64"/>
    </row>
    <row r="732">
      <c r="A732" s="157"/>
      <c r="C732" s="174"/>
      <c r="D732" s="174"/>
      <c r="E732" s="64"/>
    </row>
    <row r="733">
      <c r="A733" s="157"/>
      <c r="C733" s="174"/>
      <c r="D733" s="174"/>
      <c r="E733" s="64"/>
    </row>
    <row r="734">
      <c r="A734" s="157"/>
      <c r="C734" s="174"/>
      <c r="D734" s="174"/>
      <c r="E734" s="64"/>
    </row>
    <row r="735">
      <c r="A735" s="157"/>
      <c r="C735" s="174"/>
      <c r="D735" s="174"/>
      <c r="E735" s="64"/>
    </row>
    <row r="736">
      <c r="A736" s="157"/>
      <c r="C736" s="174"/>
      <c r="D736" s="174"/>
      <c r="E736" s="64"/>
    </row>
    <row r="737">
      <c r="A737" s="157"/>
      <c r="C737" s="174"/>
      <c r="D737" s="174"/>
      <c r="E737" s="64"/>
    </row>
    <row r="738">
      <c r="A738" s="157"/>
      <c r="C738" s="174"/>
      <c r="D738" s="174"/>
      <c r="E738" s="64"/>
    </row>
    <row r="739">
      <c r="A739" s="157"/>
      <c r="C739" s="174"/>
      <c r="D739" s="174"/>
      <c r="E739" s="64"/>
    </row>
    <row r="740">
      <c r="A740" s="157"/>
      <c r="C740" s="174"/>
      <c r="D740" s="174"/>
      <c r="E740" s="64"/>
    </row>
    <row r="741">
      <c r="A741" s="157"/>
      <c r="C741" s="174"/>
      <c r="D741" s="174"/>
      <c r="E741" s="64"/>
    </row>
    <row r="742">
      <c r="A742" s="157"/>
      <c r="C742" s="174"/>
      <c r="D742" s="174"/>
      <c r="E742" s="64"/>
    </row>
    <row r="743">
      <c r="A743" s="157"/>
      <c r="C743" s="174"/>
      <c r="D743" s="174"/>
      <c r="E743" s="64"/>
    </row>
    <row r="744">
      <c r="A744" s="157"/>
      <c r="C744" s="174"/>
      <c r="D744" s="174"/>
      <c r="E744" s="64"/>
    </row>
    <row r="745">
      <c r="A745" s="157"/>
      <c r="C745" s="174"/>
      <c r="D745" s="174"/>
      <c r="E745" s="64"/>
    </row>
    <row r="746">
      <c r="A746" s="157"/>
      <c r="C746" s="174"/>
      <c r="D746" s="174"/>
      <c r="E746" s="64"/>
    </row>
    <row r="747">
      <c r="A747" s="157"/>
      <c r="C747" s="174"/>
      <c r="D747" s="174"/>
      <c r="E747" s="64"/>
    </row>
    <row r="748">
      <c r="A748" s="157"/>
      <c r="C748" s="174"/>
      <c r="D748" s="174"/>
      <c r="E748" s="64"/>
    </row>
    <row r="749">
      <c r="A749" s="157"/>
      <c r="C749" s="174"/>
      <c r="D749" s="174"/>
      <c r="E749" s="64"/>
    </row>
    <row r="750">
      <c r="A750" s="157"/>
      <c r="C750" s="174"/>
      <c r="D750" s="174"/>
      <c r="E750" s="64"/>
    </row>
    <row r="751">
      <c r="A751" s="157"/>
      <c r="C751" s="174"/>
      <c r="D751" s="174"/>
      <c r="E751" s="64"/>
    </row>
    <row r="752">
      <c r="A752" s="157"/>
      <c r="C752" s="174"/>
      <c r="D752" s="174"/>
      <c r="E752" s="64"/>
    </row>
    <row r="753">
      <c r="A753" s="157"/>
      <c r="C753" s="174"/>
      <c r="D753" s="174"/>
      <c r="E753" s="64"/>
    </row>
    <row r="754">
      <c r="A754" s="157"/>
      <c r="C754" s="174"/>
      <c r="D754" s="174"/>
      <c r="E754" s="64"/>
    </row>
    <row r="755">
      <c r="A755" s="157"/>
      <c r="C755" s="174"/>
      <c r="D755" s="174"/>
      <c r="E755" s="64"/>
    </row>
    <row r="756">
      <c r="A756" s="157"/>
      <c r="C756" s="174"/>
      <c r="D756" s="174"/>
      <c r="E756" s="64"/>
    </row>
    <row r="757">
      <c r="A757" s="157"/>
      <c r="C757" s="174"/>
      <c r="D757" s="174"/>
      <c r="E757" s="64"/>
    </row>
    <row r="758">
      <c r="A758" s="157"/>
      <c r="C758" s="174"/>
      <c r="D758" s="174"/>
      <c r="E758" s="64"/>
    </row>
    <row r="759">
      <c r="A759" s="157"/>
      <c r="C759" s="174"/>
      <c r="D759" s="174"/>
      <c r="E759" s="64"/>
    </row>
    <row r="760">
      <c r="A760" s="157"/>
      <c r="C760" s="174"/>
      <c r="D760" s="174"/>
      <c r="E760" s="64"/>
    </row>
    <row r="761">
      <c r="A761" s="157"/>
      <c r="C761" s="174"/>
      <c r="D761" s="174"/>
      <c r="E761" s="64"/>
    </row>
    <row r="762">
      <c r="A762" s="157"/>
      <c r="C762" s="174"/>
      <c r="D762" s="174"/>
      <c r="E762" s="64"/>
    </row>
    <row r="763">
      <c r="A763" s="157"/>
      <c r="C763" s="174"/>
      <c r="D763" s="174"/>
      <c r="E763" s="64"/>
    </row>
    <row r="764">
      <c r="A764" s="157"/>
      <c r="C764" s="174"/>
      <c r="D764" s="174"/>
      <c r="E764" s="64"/>
    </row>
    <row r="765">
      <c r="A765" s="157"/>
      <c r="C765" s="174"/>
      <c r="D765" s="174"/>
      <c r="E765" s="64"/>
    </row>
    <row r="766">
      <c r="A766" s="157"/>
      <c r="C766" s="174"/>
      <c r="D766" s="174"/>
      <c r="E766" s="64"/>
    </row>
    <row r="767">
      <c r="A767" s="157"/>
      <c r="C767" s="174"/>
      <c r="D767" s="174"/>
      <c r="E767" s="64"/>
    </row>
    <row r="768">
      <c r="A768" s="157"/>
      <c r="C768" s="174"/>
      <c r="D768" s="174"/>
      <c r="E768" s="64"/>
    </row>
    <row r="769">
      <c r="A769" s="157"/>
      <c r="C769" s="174"/>
      <c r="D769" s="174"/>
      <c r="E769" s="64"/>
    </row>
    <row r="770">
      <c r="A770" s="157"/>
      <c r="C770" s="174"/>
      <c r="D770" s="174"/>
      <c r="E770" s="64"/>
    </row>
    <row r="771">
      <c r="A771" s="157"/>
      <c r="C771" s="174"/>
      <c r="D771" s="174"/>
      <c r="E771" s="64"/>
    </row>
    <row r="772">
      <c r="A772" s="157"/>
      <c r="C772" s="174"/>
      <c r="D772" s="174"/>
      <c r="E772" s="64"/>
    </row>
    <row r="773">
      <c r="A773" s="157"/>
      <c r="C773" s="174"/>
      <c r="D773" s="174"/>
      <c r="E773" s="64"/>
    </row>
    <row r="774">
      <c r="A774" s="157"/>
      <c r="C774" s="174"/>
      <c r="D774" s="174"/>
      <c r="E774" s="64"/>
    </row>
    <row r="775">
      <c r="A775" s="157"/>
      <c r="C775" s="174"/>
      <c r="D775" s="174"/>
      <c r="E775" s="64"/>
    </row>
    <row r="776">
      <c r="A776" s="157"/>
      <c r="C776" s="174"/>
      <c r="D776" s="174"/>
      <c r="E776" s="64"/>
    </row>
    <row r="777">
      <c r="A777" s="157"/>
      <c r="C777" s="174"/>
      <c r="D777" s="174"/>
      <c r="E777" s="64"/>
    </row>
    <row r="778">
      <c r="A778" s="157"/>
      <c r="C778" s="174"/>
      <c r="D778" s="174"/>
      <c r="E778" s="64"/>
    </row>
    <row r="779">
      <c r="A779" s="157"/>
      <c r="C779" s="174"/>
      <c r="D779" s="174"/>
      <c r="E779" s="64"/>
    </row>
    <row r="780">
      <c r="A780" s="157"/>
      <c r="C780" s="174"/>
      <c r="D780" s="174"/>
      <c r="E780" s="64"/>
    </row>
    <row r="781">
      <c r="A781" s="157"/>
      <c r="C781" s="174"/>
      <c r="D781" s="174"/>
      <c r="E781" s="64"/>
    </row>
    <row r="782">
      <c r="A782" s="157"/>
      <c r="C782" s="174"/>
      <c r="D782" s="174"/>
      <c r="E782" s="64"/>
    </row>
    <row r="783">
      <c r="A783" s="157"/>
      <c r="C783" s="174"/>
      <c r="D783" s="174"/>
      <c r="E783" s="64"/>
    </row>
    <row r="784">
      <c r="A784" s="157"/>
      <c r="C784" s="174"/>
      <c r="D784" s="174"/>
      <c r="E784" s="64"/>
    </row>
    <row r="785">
      <c r="A785" s="157"/>
      <c r="C785" s="174"/>
      <c r="D785" s="174"/>
      <c r="E785" s="64"/>
    </row>
    <row r="786">
      <c r="A786" s="157"/>
      <c r="C786" s="174"/>
      <c r="D786" s="174"/>
      <c r="E786" s="64"/>
    </row>
    <row r="787">
      <c r="A787" s="157"/>
      <c r="C787" s="174"/>
      <c r="D787" s="174"/>
      <c r="E787" s="64"/>
    </row>
    <row r="788">
      <c r="A788" s="157"/>
      <c r="C788" s="174"/>
      <c r="D788" s="174"/>
      <c r="E788" s="64"/>
    </row>
    <row r="789">
      <c r="A789" s="157"/>
      <c r="C789" s="174"/>
      <c r="D789" s="174"/>
      <c r="E789" s="64"/>
    </row>
    <row r="790">
      <c r="A790" s="157"/>
      <c r="C790" s="174"/>
      <c r="D790" s="174"/>
      <c r="E790" s="64"/>
    </row>
    <row r="791">
      <c r="A791" s="157"/>
      <c r="C791" s="174"/>
      <c r="D791" s="174"/>
      <c r="E791" s="64"/>
    </row>
    <row r="792">
      <c r="A792" s="157"/>
      <c r="C792" s="174"/>
      <c r="D792" s="174"/>
      <c r="E792" s="64"/>
    </row>
    <row r="793">
      <c r="A793" s="157"/>
      <c r="C793" s="174"/>
      <c r="D793" s="174"/>
      <c r="E793" s="64"/>
    </row>
    <row r="794">
      <c r="A794" s="157"/>
      <c r="C794" s="174"/>
      <c r="D794" s="174"/>
      <c r="E794" s="64"/>
    </row>
    <row r="795">
      <c r="A795" s="157"/>
      <c r="C795" s="174"/>
      <c r="D795" s="174"/>
      <c r="E795" s="64"/>
    </row>
    <row r="796">
      <c r="A796" s="157"/>
      <c r="C796" s="174"/>
      <c r="D796" s="174"/>
      <c r="E796" s="64"/>
    </row>
    <row r="797">
      <c r="A797" s="157"/>
      <c r="C797" s="174"/>
      <c r="D797" s="174"/>
      <c r="E797" s="64"/>
    </row>
    <row r="798">
      <c r="A798" s="157"/>
      <c r="C798" s="174"/>
      <c r="D798" s="174"/>
      <c r="E798" s="64"/>
    </row>
    <row r="799">
      <c r="A799" s="157"/>
      <c r="C799" s="174"/>
      <c r="D799" s="174"/>
      <c r="E799" s="64"/>
    </row>
    <row r="800">
      <c r="A800" s="157"/>
      <c r="C800" s="174"/>
      <c r="D800" s="174"/>
      <c r="E800" s="64"/>
    </row>
    <row r="801">
      <c r="A801" s="157"/>
      <c r="C801" s="174"/>
      <c r="D801" s="174"/>
      <c r="E801" s="64"/>
    </row>
    <row r="802">
      <c r="A802" s="157"/>
      <c r="C802" s="174"/>
      <c r="D802" s="174"/>
      <c r="E802" s="64"/>
    </row>
    <row r="803">
      <c r="A803" s="157"/>
      <c r="C803" s="174"/>
      <c r="D803" s="174"/>
      <c r="E803" s="64"/>
    </row>
    <row r="804">
      <c r="A804" s="157"/>
      <c r="C804" s="174"/>
      <c r="D804" s="174"/>
      <c r="E804" s="64"/>
    </row>
    <row r="805">
      <c r="A805" s="157"/>
      <c r="C805" s="174"/>
      <c r="D805" s="174"/>
      <c r="E805" s="64"/>
    </row>
    <row r="806">
      <c r="A806" s="157"/>
      <c r="C806" s="174"/>
      <c r="D806" s="174"/>
      <c r="E806" s="64"/>
    </row>
    <row r="807">
      <c r="A807" s="157"/>
      <c r="C807" s="174"/>
      <c r="D807" s="174"/>
      <c r="E807" s="64"/>
    </row>
    <row r="808">
      <c r="A808" s="157"/>
      <c r="C808" s="174"/>
      <c r="D808" s="174"/>
      <c r="E808" s="64"/>
    </row>
    <row r="809">
      <c r="A809" s="157"/>
      <c r="C809" s="174"/>
      <c r="D809" s="174"/>
      <c r="E809" s="64"/>
    </row>
    <row r="810">
      <c r="A810" s="157"/>
      <c r="C810" s="174"/>
      <c r="D810" s="174"/>
      <c r="E810" s="64"/>
    </row>
    <row r="811">
      <c r="A811" s="157"/>
      <c r="C811" s="174"/>
      <c r="D811" s="174"/>
      <c r="E811" s="64"/>
    </row>
    <row r="812">
      <c r="A812" s="157"/>
      <c r="C812" s="174"/>
      <c r="D812" s="174"/>
      <c r="E812" s="64"/>
    </row>
    <row r="813">
      <c r="A813" s="157"/>
      <c r="C813" s="174"/>
      <c r="D813" s="174"/>
      <c r="E813" s="64"/>
    </row>
    <row r="814">
      <c r="A814" s="157"/>
      <c r="C814" s="174"/>
      <c r="D814" s="174"/>
      <c r="E814" s="64"/>
    </row>
    <row r="815">
      <c r="A815" s="157"/>
      <c r="C815" s="174"/>
      <c r="D815" s="174"/>
      <c r="E815" s="64"/>
    </row>
    <row r="816">
      <c r="A816" s="157"/>
      <c r="C816" s="174"/>
      <c r="D816" s="174"/>
      <c r="E816" s="64"/>
    </row>
    <row r="817">
      <c r="A817" s="157"/>
      <c r="C817" s="174"/>
      <c r="D817" s="174"/>
      <c r="E817" s="64"/>
    </row>
    <row r="818">
      <c r="A818" s="157"/>
      <c r="C818" s="174"/>
      <c r="D818" s="174"/>
      <c r="E818" s="64"/>
    </row>
    <row r="819">
      <c r="A819" s="157"/>
      <c r="C819" s="174"/>
      <c r="D819" s="174"/>
      <c r="E819" s="64"/>
    </row>
    <row r="820">
      <c r="A820" s="157"/>
      <c r="C820" s="174"/>
      <c r="D820" s="174"/>
      <c r="E820" s="64"/>
    </row>
    <row r="821">
      <c r="A821" s="157"/>
      <c r="C821" s="174"/>
      <c r="D821" s="174"/>
      <c r="E821" s="64"/>
    </row>
    <row r="822">
      <c r="A822" s="157"/>
      <c r="C822" s="174"/>
      <c r="D822" s="174"/>
      <c r="E822" s="64"/>
    </row>
    <row r="823">
      <c r="A823" s="157"/>
      <c r="C823" s="174"/>
      <c r="D823" s="174"/>
      <c r="E823" s="64"/>
    </row>
    <row r="824">
      <c r="A824" s="157"/>
      <c r="C824" s="174"/>
      <c r="D824" s="174"/>
      <c r="E824" s="64"/>
    </row>
    <row r="825">
      <c r="A825" s="157"/>
      <c r="C825" s="174"/>
      <c r="D825" s="174"/>
      <c r="E825" s="64"/>
    </row>
    <row r="826">
      <c r="A826" s="157"/>
      <c r="C826" s="174"/>
      <c r="D826" s="174"/>
      <c r="E826" s="64"/>
    </row>
    <row r="827">
      <c r="A827" s="157"/>
      <c r="C827" s="174"/>
      <c r="D827" s="174"/>
      <c r="E827" s="64"/>
    </row>
    <row r="828">
      <c r="A828" s="157"/>
      <c r="C828" s="174"/>
      <c r="D828" s="174"/>
      <c r="E828" s="64"/>
    </row>
    <row r="829">
      <c r="A829" s="157"/>
      <c r="C829" s="174"/>
      <c r="D829" s="174"/>
      <c r="E829" s="64"/>
    </row>
    <row r="830">
      <c r="A830" s="157"/>
      <c r="C830" s="174"/>
      <c r="D830" s="174"/>
      <c r="E830" s="64"/>
    </row>
    <row r="831">
      <c r="A831" s="157"/>
      <c r="C831" s="174"/>
      <c r="D831" s="174"/>
      <c r="E831" s="64"/>
    </row>
    <row r="832">
      <c r="A832" s="157"/>
      <c r="C832" s="174"/>
      <c r="D832" s="174"/>
      <c r="E832" s="64"/>
    </row>
    <row r="833">
      <c r="A833" s="157"/>
      <c r="C833" s="174"/>
      <c r="D833" s="174"/>
      <c r="E833" s="64"/>
    </row>
    <row r="834">
      <c r="A834" s="157"/>
      <c r="C834" s="174"/>
      <c r="D834" s="174"/>
      <c r="E834" s="64"/>
    </row>
    <row r="835">
      <c r="A835" s="157"/>
      <c r="C835" s="174"/>
      <c r="D835" s="174"/>
      <c r="E835" s="64"/>
    </row>
    <row r="836">
      <c r="A836" s="157"/>
      <c r="C836" s="174"/>
      <c r="D836" s="174"/>
      <c r="E836" s="64"/>
    </row>
    <row r="837">
      <c r="A837" s="157"/>
      <c r="C837" s="174"/>
      <c r="D837" s="174"/>
      <c r="E837" s="64"/>
    </row>
    <row r="838">
      <c r="A838" s="157"/>
      <c r="C838" s="174"/>
      <c r="D838" s="174"/>
      <c r="E838" s="64"/>
    </row>
    <row r="839">
      <c r="A839" s="157"/>
      <c r="C839" s="174"/>
      <c r="D839" s="174"/>
      <c r="E839" s="64"/>
    </row>
    <row r="840">
      <c r="A840" s="157"/>
      <c r="C840" s="174"/>
      <c r="D840" s="174"/>
      <c r="E840" s="64"/>
    </row>
    <row r="841">
      <c r="A841" s="157"/>
      <c r="C841" s="174"/>
      <c r="D841" s="174"/>
      <c r="E841" s="64"/>
    </row>
    <row r="842">
      <c r="A842" s="157"/>
      <c r="C842" s="174"/>
      <c r="D842" s="174"/>
      <c r="E842" s="64"/>
    </row>
    <row r="843">
      <c r="A843" s="157"/>
      <c r="C843" s="174"/>
      <c r="D843" s="174"/>
      <c r="E843" s="64"/>
    </row>
    <row r="844">
      <c r="A844" s="157"/>
      <c r="C844" s="174"/>
      <c r="D844" s="174"/>
      <c r="E844" s="64"/>
    </row>
    <row r="845">
      <c r="A845" s="157"/>
      <c r="C845" s="174"/>
      <c r="D845" s="174"/>
      <c r="E845" s="64"/>
    </row>
    <row r="846">
      <c r="A846" s="157"/>
      <c r="C846" s="174"/>
      <c r="D846" s="174"/>
      <c r="E846" s="64"/>
    </row>
    <row r="847">
      <c r="A847" s="157"/>
      <c r="C847" s="174"/>
      <c r="D847" s="174"/>
      <c r="E847" s="64"/>
    </row>
    <row r="848">
      <c r="A848" s="157"/>
      <c r="C848" s="174"/>
      <c r="D848" s="174"/>
      <c r="E848" s="64"/>
    </row>
    <row r="849">
      <c r="A849" s="157"/>
      <c r="C849" s="174"/>
      <c r="D849" s="174"/>
      <c r="E849" s="64"/>
    </row>
    <row r="850">
      <c r="A850" s="157"/>
      <c r="C850" s="174"/>
      <c r="D850" s="174"/>
      <c r="E850" s="64"/>
    </row>
    <row r="851">
      <c r="A851" s="157"/>
      <c r="C851" s="174"/>
      <c r="D851" s="174"/>
      <c r="E851" s="64"/>
    </row>
    <row r="852">
      <c r="A852" s="157"/>
      <c r="C852" s="174"/>
      <c r="D852" s="174"/>
      <c r="E852" s="64"/>
    </row>
    <row r="853">
      <c r="A853" s="157"/>
      <c r="C853" s="174"/>
      <c r="D853" s="174"/>
      <c r="E853" s="64"/>
    </row>
    <row r="854">
      <c r="A854" s="157"/>
      <c r="C854" s="174"/>
      <c r="D854" s="174"/>
      <c r="E854" s="64"/>
    </row>
    <row r="855">
      <c r="A855" s="157"/>
      <c r="C855" s="174"/>
      <c r="D855" s="174"/>
      <c r="E855" s="64"/>
    </row>
    <row r="856">
      <c r="A856" s="157"/>
      <c r="C856" s="174"/>
      <c r="D856" s="174"/>
      <c r="E856" s="64"/>
    </row>
    <row r="857">
      <c r="A857" s="157"/>
      <c r="C857" s="174"/>
      <c r="D857" s="174"/>
      <c r="E857" s="64"/>
    </row>
    <row r="858">
      <c r="A858" s="157"/>
      <c r="C858" s="174"/>
      <c r="D858" s="174"/>
      <c r="E858" s="64"/>
    </row>
    <row r="859">
      <c r="A859" s="157"/>
      <c r="C859" s="174"/>
      <c r="D859" s="174"/>
      <c r="E859" s="64"/>
    </row>
    <row r="860">
      <c r="A860" s="157"/>
      <c r="C860" s="174"/>
      <c r="D860" s="174"/>
      <c r="E860" s="64"/>
    </row>
    <row r="861">
      <c r="A861" s="157"/>
      <c r="C861" s="174"/>
      <c r="D861" s="174"/>
      <c r="E861" s="64"/>
    </row>
    <row r="862">
      <c r="A862" s="157"/>
      <c r="C862" s="174"/>
      <c r="D862" s="174"/>
      <c r="E862" s="64"/>
    </row>
    <row r="863">
      <c r="A863" s="157"/>
      <c r="C863" s="174"/>
      <c r="D863" s="174"/>
      <c r="E863" s="64"/>
    </row>
    <row r="864">
      <c r="A864" s="157"/>
      <c r="C864" s="174"/>
      <c r="D864" s="174"/>
      <c r="E864" s="64"/>
    </row>
    <row r="865">
      <c r="A865" s="157"/>
      <c r="C865" s="174"/>
      <c r="D865" s="174"/>
      <c r="E865" s="64"/>
    </row>
    <row r="866">
      <c r="A866" s="157"/>
      <c r="C866" s="174"/>
      <c r="D866" s="174"/>
      <c r="E866" s="64"/>
    </row>
    <row r="867">
      <c r="A867" s="157"/>
      <c r="C867" s="174"/>
      <c r="D867" s="174"/>
      <c r="E867" s="64"/>
    </row>
    <row r="868">
      <c r="A868" s="157"/>
      <c r="C868" s="174"/>
      <c r="D868" s="174"/>
      <c r="E868" s="64"/>
    </row>
    <row r="869">
      <c r="A869" s="157"/>
      <c r="C869" s="174"/>
      <c r="D869" s="174"/>
      <c r="E869" s="64"/>
    </row>
    <row r="870">
      <c r="A870" s="157"/>
      <c r="C870" s="174"/>
      <c r="D870" s="174"/>
      <c r="E870" s="64"/>
    </row>
    <row r="871">
      <c r="A871" s="157"/>
      <c r="C871" s="174"/>
      <c r="D871" s="174"/>
      <c r="E871" s="64"/>
    </row>
    <row r="872">
      <c r="A872" s="157"/>
      <c r="C872" s="174"/>
      <c r="D872" s="174"/>
      <c r="E872" s="64"/>
    </row>
    <row r="873">
      <c r="A873" s="157"/>
      <c r="C873" s="174"/>
      <c r="D873" s="174"/>
      <c r="E873" s="64"/>
    </row>
    <row r="874">
      <c r="A874" s="157"/>
      <c r="C874" s="174"/>
      <c r="D874" s="174"/>
      <c r="E874" s="64"/>
    </row>
    <row r="875">
      <c r="A875" s="157"/>
      <c r="C875" s="174"/>
      <c r="D875" s="174"/>
      <c r="E875" s="64"/>
    </row>
    <row r="876">
      <c r="A876" s="157"/>
      <c r="C876" s="174"/>
      <c r="D876" s="174"/>
      <c r="E876" s="64"/>
    </row>
    <row r="877">
      <c r="A877" s="157"/>
      <c r="C877" s="174"/>
      <c r="D877" s="174"/>
      <c r="E877" s="64"/>
    </row>
    <row r="878">
      <c r="A878" s="157"/>
      <c r="C878" s="174"/>
      <c r="D878" s="174"/>
      <c r="E878" s="64"/>
    </row>
    <row r="879">
      <c r="A879" s="157"/>
      <c r="C879" s="174"/>
      <c r="D879" s="174"/>
      <c r="E879" s="64"/>
    </row>
    <row r="880">
      <c r="A880" s="157"/>
      <c r="C880" s="174"/>
      <c r="D880" s="174"/>
      <c r="E880" s="64"/>
    </row>
    <row r="881">
      <c r="A881" s="157"/>
      <c r="C881" s="174"/>
      <c r="D881" s="174"/>
      <c r="E881" s="64"/>
    </row>
    <row r="882">
      <c r="A882" s="157"/>
      <c r="C882" s="174"/>
      <c r="D882" s="174"/>
      <c r="E882" s="64"/>
    </row>
    <row r="883">
      <c r="A883" s="157"/>
      <c r="C883" s="174"/>
      <c r="D883" s="174"/>
      <c r="E883" s="64"/>
    </row>
    <row r="884">
      <c r="A884" s="157"/>
      <c r="C884" s="174"/>
      <c r="D884" s="174"/>
      <c r="E884" s="64"/>
    </row>
    <row r="885">
      <c r="A885" s="157"/>
      <c r="C885" s="174"/>
      <c r="D885" s="174"/>
      <c r="E885" s="64"/>
    </row>
    <row r="886">
      <c r="A886" s="157"/>
      <c r="C886" s="174"/>
      <c r="D886" s="174"/>
      <c r="E886" s="64"/>
    </row>
    <row r="887">
      <c r="A887" s="157"/>
      <c r="C887" s="174"/>
      <c r="D887" s="174"/>
      <c r="E887" s="64"/>
    </row>
    <row r="888">
      <c r="A888" s="157"/>
      <c r="C888" s="174"/>
      <c r="D888" s="174"/>
      <c r="E888" s="64"/>
    </row>
    <row r="889">
      <c r="A889" s="157"/>
      <c r="C889" s="174"/>
      <c r="D889" s="174"/>
      <c r="E889" s="64"/>
    </row>
    <row r="890">
      <c r="A890" s="157"/>
      <c r="C890" s="174"/>
      <c r="D890" s="174"/>
      <c r="E890" s="64"/>
    </row>
    <row r="891">
      <c r="A891" s="157"/>
      <c r="C891" s="174"/>
      <c r="D891" s="174"/>
      <c r="E891" s="64"/>
    </row>
    <row r="892">
      <c r="A892" s="157"/>
      <c r="C892" s="174"/>
      <c r="D892" s="174"/>
      <c r="E892" s="64"/>
    </row>
    <row r="893">
      <c r="A893" s="157"/>
      <c r="C893" s="174"/>
      <c r="D893" s="174"/>
      <c r="E893" s="64"/>
    </row>
    <row r="894">
      <c r="A894" s="157"/>
      <c r="C894" s="174"/>
      <c r="D894" s="174"/>
      <c r="E894" s="64"/>
    </row>
    <row r="895">
      <c r="A895" s="157"/>
      <c r="C895" s="174"/>
      <c r="D895" s="174"/>
      <c r="E895" s="64"/>
    </row>
    <row r="896">
      <c r="A896" s="157"/>
      <c r="C896" s="174"/>
      <c r="D896" s="174"/>
      <c r="E896" s="64"/>
    </row>
    <row r="897">
      <c r="A897" s="157"/>
      <c r="C897" s="174"/>
      <c r="D897" s="174"/>
      <c r="E897" s="64"/>
    </row>
    <row r="898">
      <c r="A898" s="157"/>
      <c r="C898" s="174"/>
      <c r="D898" s="174"/>
      <c r="E898" s="64"/>
    </row>
    <row r="899">
      <c r="A899" s="157"/>
      <c r="C899" s="174"/>
      <c r="D899" s="174"/>
      <c r="E899" s="64"/>
    </row>
    <row r="900">
      <c r="A900" s="157"/>
      <c r="C900" s="174"/>
      <c r="D900" s="174"/>
      <c r="E900" s="64"/>
    </row>
    <row r="901">
      <c r="A901" s="157"/>
      <c r="C901" s="174"/>
      <c r="D901" s="174"/>
      <c r="E901" s="64"/>
    </row>
    <row r="902">
      <c r="A902" s="157"/>
      <c r="C902" s="174"/>
      <c r="D902" s="174"/>
      <c r="E902" s="64"/>
    </row>
    <row r="903">
      <c r="A903" s="157"/>
      <c r="C903" s="174"/>
      <c r="D903" s="174"/>
      <c r="E903" s="64"/>
    </row>
    <row r="904">
      <c r="A904" s="157"/>
      <c r="C904" s="174"/>
      <c r="D904" s="174"/>
      <c r="E904" s="64"/>
    </row>
    <row r="905">
      <c r="A905" s="157"/>
      <c r="C905" s="174"/>
      <c r="D905" s="174"/>
      <c r="E905" s="64"/>
    </row>
    <row r="906">
      <c r="A906" s="157"/>
      <c r="C906" s="174"/>
      <c r="D906" s="174"/>
      <c r="E906" s="64"/>
    </row>
    <row r="907">
      <c r="A907" s="157"/>
      <c r="C907" s="174"/>
      <c r="D907" s="174"/>
      <c r="E907" s="64"/>
    </row>
    <row r="908">
      <c r="A908" s="157"/>
      <c r="C908" s="174"/>
      <c r="D908" s="174"/>
      <c r="E908" s="64"/>
    </row>
    <row r="909">
      <c r="A909" s="157"/>
      <c r="C909" s="174"/>
      <c r="D909" s="174"/>
      <c r="E909" s="64"/>
    </row>
    <row r="910">
      <c r="A910" s="157"/>
      <c r="C910" s="174"/>
      <c r="D910" s="174"/>
      <c r="E910" s="64"/>
    </row>
    <row r="911">
      <c r="A911" s="157"/>
      <c r="C911" s="174"/>
      <c r="D911" s="174"/>
      <c r="E911" s="64"/>
    </row>
    <row r="912">
      <c r="A912" s="157"/>
      <c r="C912" s="174"/>
      <c r="D912" s="174"/>
      <c r="E912" s="64"/>
    </row>
    <row r="913">
      <c r="A913" s="157"/>
      <c r="C913" s="174"/>
      <c r="D913" s="174"/>
      <c r="E913" s="64"/>
    </row>
    <row r="914">
      <c r="A914" s="157"/>
      <c r="C914" s="174"/>
      <c r="D914" s="174"/>
      <c r="E914" s="64"/>
    </row>
    <row r="915">
      <c r="A915" s="157"/>
      <c r="C915" s="174"/>
      <c r="D915" s="174"/>
      <c r="E915" s="64"/>
    </row>
    <row r="916">
      <c r="A916" s="157"/>
      <c r="C916" s="174"/>
      <c r="D916" s="174"/>
      <c r="E916" s="64"/>
    </row>
    <row r="917">
      <c r="A917" s="157"/>
      <c r="C917" s="174"/>
      <c r="D917" s="174"/>
      <c r="E917" s="64"/>
    </row>
    <row r="918">
      <c r="A918" s="157"/>
      <c r="C918" s="174"/>
      <c r="D918" s="174"/>
      <c r="E918" s="64"/>
    </row>
    <row r="919">
      <c r="A919" s="157"/>
      <c r="C919" s="174"/>
      <c r="D919" s="174"/>
      <c r="E919" s="64"/>
    </row>
    <row r="920">
      <c r="A920" s="157"/>
      <c r="C920" s="174"/>
      <c r="D920" s="174"/>
      <c r="E920" s="64"/>
    </row>
    <row r="921">
      <c r="A921" s="157"/>
      <c r="C921" s="174"/>
      <c r="D921" s="174"/>
      <c r="E921" s="64"/>
    </row>
    <row r="922">
      <c r="A922" s="157"/>
      <c r="C922" s="174"/>
      <c r="D922" s="174"/>
      <c r="E922" s="64"/>
    </row>
    <row r="923">
      <c r="A923" s="157"/>
      <c r="C923" s="174"/>
      <c r="D923" s="174"/>
      <c r="E923" s="64"/>
    </row>
    <row r="924">
      <c r="A924" s="157"/>
      <c r="C924" s="174"/>
      <c r="D924" s="174"/>
      <c r="E924" s="64"/>
    </row>
    <row r="925">
      <c r="A925" s="157"/>
      <c r="C925" s="174"/>
      <c r="D925" s="174"/>
      <c r="E925" s="64"/>
    </row>
    <row r="926">
      <c r="A926" s="157"/>
      <c r="C926" s="174"/>
      <c r="D926" s="174"/>
      <c r="E926" s="64"/>
    </row>
    <row r="927">
      <c r="A927" s="157"/>
      <c r="C927" s="174"/>
      <c r="D927" s="174"/>
      <c r="E927" s="64"/>
    </row>
    <row r="928">
      <c r="A928" s="157"/>
      <c r="C928" s="174"/>
      <c r="D928" s="174"/>
      <c r="E928" s="64"/>
    </row>
    <row r="929">
      <c r="A929" s="157"/>
      <c r="C929" s="174"/>
      <c r="D929" s="174"/>
      <c r="E929" s="64"/>
    </row>
    <row r="930">
      <c r="A930" s="157"/>
      <c r="C930" s="174"/>
      <c r="D930" s="174"/>
      <c r="E930" s="64"/>
    </row>
    <row r="931">
      <c r="A931" s="157"/>
      <c r="C931" s="174"/>
      <c r="D931" s="174"/>
      <c r="E931" s="64"/>
    </row>
    <row r="932">
      <c r="A932" s="157"/>
      <c r="C932" s="174"/>
      <c r="D932" s="174"/>
      <c r="E932" s="64"/>
    </row>
    <row r="933">
      <c r="A933" s="157"/>
      <c r="C933" s="174"/>
      <c r="D933" s="174"/>
      <c r="E933" s="64"/>
    </row>
    <row r="934">
      <c r="A934" s="157"/>
      <c r="C934" s="174"/>
      <c r="D934" s="174"/>
      <c r="E934" s="64"/>
    </row>
    <row r="935">
      <c r="A935" s="157"/>
      <c r="C935" s="174"/>
      <c r="D935" s="174"/>
      <c r="E935" s="64"/>
    </row>
    <row r="936">
      <c r="A936" s="157"/>
      <c r="C936" s="174"/>
      <c r="D936" s="174"/>
      <c r="E936" s="64"/>
    </row>
    <row r="937">
      <c r="A937" s="157"/>
      <c r="C937" s="174"/>
      <c r="D937" s="174"/>
      <c r="E937" s="64"/>
    </row>
    <row r="938">
      <c r="A938" s="157"/>
      <c r="C938" s="174"/>
      <c r="D938" s="174"/>
      <c r="E938" s="64"/>
    </row>
    <row r="939">
      <c r="A939" s="157"/>
      <c r="C939" s="174"/>
      <c r="D939" s="174"/>
      <c r="E939" s="64"/>
    </row>
    <row r="940">
      <c r="A940" s="157"/>
      <c r="C940" s="174"/>
      <c r="D940" s="174"/>
      <c r="E940" s="64"/>
    </row>
    <row r="941">
      <c r="A941" s="157"/>
      <c r="C941" s="174"/>
      <c r="D941" s="174"/>
      <c r="E941" s="64"/>
    </row>
    <row r="942">
      <c r="A942" s="157"/>
      <c r="C942" s="174"/>
      <c r="D942" s="174"/>
      <c r="E942" s="64"/>
    </row>
    <row r="943">
      <c r="A943" s="157"/>
      <c r="C943" s="174"/>
      <c r="D943" s="174"/>
      <c r="E943" s="64"/>
    </row>
    <row r="944">
      <c r="A944" s="157"/>
      <c r="C944" s="174"/>
      <c r="D944" s="174"/>
      <c r="E944" s="64"/>
    </row>
    <row r="945">
      <c r="A945" s="157"/>
      <c r="C945" s="174"/>
      <c r="D945" s="174"/>
      <c r="E945" s="64"/>
    </row>
    <row r="946">
      <c r="A946" s="157"/>
      <c r="C946" s="174"/>
      <c r="D946" s="174"/>
      <c r="E946" s="64"/>
    </row>
    <row r="947">
      <c r="A947" s="157"/>
      <c r="C947" s="174"/>
      <c r="D947" s="174"/>
      <c r="E947" s="64"/>
    </row>
    <row r="948">
      <c r="A948" s="157"/>
      <c r="C948" s="174"/>
      <c r="D948" s="174"/>
      <c r="E948" s="64"/>
    </row>
    <row r="949">
      <c r="A949" s="157"/>
      <c r="C949" s="174"/>
      <c r="D949" s="174"/>
      <c r="E949" s="64"/>
    </row>
    <row r="950">
      <c r="A950" s="157"/>
      <c r="C950" s="174"/>
      <c r="D950" s="174"/>
      <c r="E950" s="64"/>
    </row>
    <row r="951">
      <c r="A951" s="157"/>
      <c r="C951" s="174"/>
      <c r="D951" s="174"/>
      <c r="E951" s="64"/>
    </row>
    <row r="952">
      <c r="A952" s="157"/>
      <c r="C952" s="174"/>
      <c r="D952" s="174"/>
      <c r="E952" s="64"/>
    </row>
    <row r="953">
      <c r="A953" s="157"/>
      <c r="C953" s="174"/>
      <c r="D953" s="174"/>
      <c r="E953" s="64"/>
    </row>
    <row r="954">
      <c r="A954" s="157"/>
      <c r="C954" s="174"/>
      <c r="D954" s="174"/>
      <c r="E954" s="64"/>
    </row>
    <row r="955">
      <c r="A955" s="157"/>
      <c r="C955" s="174"/>
      <c r="D955" s="174"/>
      <c r="E955" s="64"/>
    </row>
    <row r="956">
      <c r="A956" s="157"/>
      <c r="C956" s="174"/>
      <c r="D956" s="174"/>
      <c r="E956" s="64"/>
    </row>
    <row r="957">
      <c r="A957" s="157"/>
      <c r="C957" s="174"/>
      <c r="D957" s="174"/>
      <c r="E957" s="64"/>
    </row>
    <row r="958">
      <c r="A958" s="157"/>
      <c r="C958" s="174"/>
      <c r="D958" s="174"/>
      <c r="E958" s="64"/>
    </row>
    <row r="959">
      <c r="A959" s="157"/>
      <c r="C959" s="174"/>
      <c r="D959" s="174"/>
      <c r="E959" s="64"/>
    </row>
    <row r="960">
      <c r="A960" s="157"/>
      <c r="C960" s="174"/>
      <c r="D960" s="174"/>
      <c r="E960" s="64"/>
    </row>
    <row r="961">
      <c r="A961" s="157"/>
      <c r="C961" s="174"/>
      <c r="D961" s="174"/>
      <c r="E961" s="64"/>
    </row>
    <row r="962">
      <c r="A962" s="157"/>
      <c r="C962" s="174"/>
      <c r="D962" s="174"/>
      <c r="E962" s="64"/>
    </row>
    <row r="963">
      <c r="A963" s="157"/>
      <c r="C963" s="174"/>
      <c r="D963" s="174"/>
      <c r="E963" s="64"/>
    </row>
    <row r="964">
      <c r="A964" s="157"/>
      <c r="C964" s="174"/>
      <c r="D964" s="174"/>
      <c r="E964" s="64"/>
    </row>
    <row r="965">
      <c r="A965" s="157"/>
      <c r="C965" s="174"/>
      <c r="D965" s="174"/>
      <c r="E965" s="64"/>
    </row>
    <row r="966">
      <c r="A966" s="157"/>
      <c r="C966" s="174"/>
      <c r="D966" s="174"/>
      <c r="E966" s="64"/>
    </row>
    <row r="967">
      <c r="A967" s="157"/>
      <c r="C967" s="174"/>
      <c r="D967" s="174"/>
      <c r="E967" s="64"/>
    </row>
    <row r="968">
      <c r="A968" s="157"/>
      <c r="C968" s="174"/>
      <c r="D968" s="174"/>
      <c r="E968" s="64"/>
    </row>
    <row r="969">
      <c r="A969" s="157"/>
      <c r="C969" s="174"/>
      <c r="D969" s="174"/>
      <c r="E969" s="64"/>
    </row>
    <row r="970">
      <c r="A970" s="157"/>
      <c r="C970" s="174"/>
      <c r="D970" s="174"/>
      <c r="E970" s="64"/>
    </row>
    <row r="971">
      <c r="A971" s="157"/>
      <c r="C971" s="174"/>
      <c r="D971" s="174"/>
      <c r="E971" s="64"/>
    </row>
    <row r="972">
      <c r="A972" s="157"/>
      <c r="C972" s="174"/>
      <c r="D972" s="174"/>
      <c r="E972" s="64"/>
    </row>
    <row r="973">
      <c r="A973" s="157"/>
      <c r="C973" s="174"/>
      <c r="D973" s="174"/>
      <c r="E973" s="64"/>
    </row>
    <row r="974">
      <c r="A974" s="157"/>
      <c r="C974" s="174"/>
      <c r="D974" s="174"/>
      <c r="E974" s="64"/>
    </row>
    <row r="975">
      <c r="A975" s="157"/>
      <c r="C975" s="174"/>
      <c r="D975" s="174"/>
      <c r="E975" s="64"/>
    </row>
    <row r="976">
      <c r="A976" s="157"/>
      <c r="C976" s="174"/>
      <c r="D976" s="174"/>
      <c r="E976" s="64"/>
    </row>
    <row r="977">
      <c r="A977" s="157"/>
      <c r="C977" s="174"/>
      <c r="D977" s="174"/>
      <c r="E977" s="64"/>
    </row>
    <row r="978">
      <c r="A978" s="157"/>
      <c r="C978" s="174"/>
      <c r="D978" s="174"/>
      <c r="E978" s="64"/>
    </row>
    <row r="979">
      <c r="A979" s="157"/>
      <c r="C979" s="174"/>
      <c r="D979" s="174"/>
      <c r="E979" s="64"/>
    </row>
    <row r="980">
      <c r="A980" s="157"/>
      <c r="C980" s="174"/>
      <c r="D980" s="174"/>
      <c r="E980" s="64"/>
    </row>
    <row r="981">
      <c r="A981" s="157"/>
      <c r="C981" s="174"/>
      <c r="D981" s="174"/>
      <c r="E981" s="64"/>
    </row>
    <row r="982">
      <c r="A982" s="157"/>
      <c r="C982" s="174"/>
      <c r="D982" s="174"/>
      <c r="E982" s="64"/>
    </row>
    <row r="983">
      <c r="A983" s="157"/>
      <c r="C983" s="174"/>
      <c r="D983" s="174"/>
      <c r="E983" s="64"/>
    </row>
    <row r="984">
      <c r="A984" s="157"/>
      <c r="C984" s="174"/>
      <c r="D984" s="174"/>
      <c r="E984" s="64"/>
    </row>
    <row r="985">
      <c r="A985" s="157"/>
      <c r="C985" s="174"/>
      <c r="D985" s="174"/>
      <c r="E985" s="64"/>
    </row>
    <row r="986">
      <c r="A986" s="157"/>
      <c r="C986" s="174"/>
      <c r="D986" s="174"/>
      <c r="E986" s="64"/>
    </row>
    <row r="987">
      <c r="A987" s="157"/>
      <c r="C987" s="174"/>
      <c r="D987" s="174"/>
      <c r="E987" s="64"/>
    </row>
    <row r="988">
      <c r="A988" s="157"/>
      <c r="C988" s="174"/>
      <c r="D988" s="174"/>
      <c r="E988" s="64"/>
    </row>
    <row r="989">
      <c r="A989" s="157"/>
      <c r="C989" s="174"/>
      <c r="D989" s="174"/>
      <c r="E989" s="64"/>
    </row>
    <row r="990">
      <c r="A990" s="157"/>
      <c r="C990" s="174"/>
      <c r="D990" s="174"/>
      <c r="E990" s="64"/>
    </row>
    <row r="991">
      <c r="A991" s="157"/>
      <c r="C991" s="174"/>
      <c r="D991" s="174"/>
      <c r="E991" s="64"/>
    </row>
    <row r="992">
      <c r="A992" s="157"/>
      <c r="C992" s="174"/>
      <c r="D992" s="174"/>
      <c r="E992" s="64"/>
    </row>
    <row r="993">
      <c r="A993" s="157"/>
      <c r="C993" s="174"/>
      <c r="D993" s="174"/>
      <c r="E993" s="64"/>
    </row>
    <row r="994">
      <c r="A994" s="157"/>
      <c r="C994" s="174"/>
      <c r="D994" s="174"/>
      <c r="E994" s="64"/>
    </row>
    <row r="995">
      <c r="A995" s="157"/>
      <c r="C995" s="174"/>
      <c r="D995" s="174"/>
      <c r="E995" s="64"/>
    </row>
    <row r="996">
      <c r="A996" s="157"/>
      <c r="C996" s="174"/>
      <c r="D996" s="174"/>
      <c r="E996" s="64"/>
    </row>
    <row r="997">
      <c r="A997" s="157"/>
      <c r="C997" s="174"/>
      <c r="D997" s="174"/>
      <c r="E997" s="64"/>
    </row>
    <row r="998">
      <c r="A998" s="157"/>
      <c r="C998" s="174"/>
      <c r="D998" s="174"/>
      <c r="E998" s="64"/>
    </row>
    <row r="999">
      <c r="A999" s="157"/>
      <c r="C999" s="174"/>
      <c r="D999" s="174"/>
      <c r="E999" s="64"/>
    </row>
    <row r="1000">
      <c r="A1000" s="157"/>
      <c r="C1000" s="174"/>
      <c r="D1000" s="174"/>
      <c r="E1000" s="64"/>
    </row>
    <row r="1001">
      <c r="A1001" s="157"/>
      <c r="C1001" s="174"/>
      <c r="D1001" s="174"/>
      <c r="E1001" s="64"/>
    </row>
    <row r="1002">
      <c r="A1002" s="157"/>
      <c r="C1002" s="174"/>
      <c r="D1002" s="174"/>
      <c r="E1002" s="64"/>
    </row>
    <row r="1003">
      <c r="A1003" s="157"/>
      <c r="C1003" s="174"/>
      <c r="D1003" s="174"/>
      <c r="E1003" s="64"/>
    </row>
    <row r="1004">
      <c r="A1004" s="157"/>
      <c r="C1004" s="174"/>
      <c r="D1004" s="174"/>
      <c r="E1004" s="64"/>
    </row>
    <row r="1005">
      <c r="A1005" s="157"/>
      <c r="C1005" s="174"/>
      <c r="D1005" s="174"/>
      <c r="E1005" s="64"/>
    </row>
    <row r="1006">
      <c r="A1006" s="157"/>
      <c r="C1006" s="174"/>
      <c r="D1006" s="174"/>
      <c r="E1006" s="64"/>
    </row>
    <row r="1007">
      <c r="A1007" s="157"/>
      <c r="C1007" s="174"/>
      <c r="D1007" s="174"/>
      <c r="E1007" s="64"/>
    </row>
  </sheetData>
  <mergeCells count="12">
    <mergeCell ref="A13:A15"/>
    <mergeCell ref="B13:B15"/>
    <mergeCell ref="A16:E16"/>
    <mergeCell ref="A19:K19"/>
    <mergeCell ref="A27:E27"/>
    <mergeCell ref="A1:K1"/>
    <mergeCell ref="A3:A4"/>
    <mergeCell ref="B3:B4"/>
    <mergeCell ref="A7:A8"/>
    <mergeCell ref="B7:B8"/>
    <mergeCell ref="A9:A11"/>
    <mergeCell ref="B9:B1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21"/>
    <hyperlink r:id="rId15" ref="E22"/>
    <hyperlink r:id="rId16" ref="E23"/>
    <hyperlink r:id="rId17" ref="E24"/>
    <hyperlink r:id="rId18" ref="E25"/>
    <hyperlink r:id="rId19" ref="E26"/>
  </hyperlinks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3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105" t="s">
        <v>1</v>
      </c>
      <c r="B2" s="10" t="s">
        <v>2</v>
      </c>
      <c r="C2" s="105" t="s">
        <v>142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</row>
    <row r="3">
      <c r="A3" s="108" t="s">
        <v>230</v>
      </c>
      <c r="B3" s="146" t="s">
        <v>232</v>
      </c>
      <c r="C3" s="147" t="s">
        <v>193</v>
      </c>
      <c r="D3" s="108" t="s">
        <v>13</v>
      </c>
      <c r="E3" s="149" t="s">
        <v>235</v>
      </c>
      <c r="F3" s="110">
        <v>11296.0</v>
      </c>
      <c r="G3" s="111">
        <v>1080.0</v>
      </c>
      <c r="H3" s="111">
        <v>573.0</v>
      </c>
      <c r="I3" s="111">
        <v>32.0</v>
      </c>
      <c r="J3" s="112">
        <f>G3+H3+I3</f>
        <v>1685</v>
      </c>
      <c r="K3" s="113">
        <f t="shared" ref="K3:K4" si="2">J3/F3</f>
        <v>0.149167847</v>
      </c>
    </row>
    <row r="4">
      <c r="A4" s="115" t="s">
        <v>19</v>
      </c>
      <c r="B4" s="3"/>
      <c r="C4" s="3"/>
      <c r="D4" s="3"/>
      <c r="E4" s="5"/>
      <c r="F4" s="116">
        <f t="shared" ref="F4:J4" si="1">SUM(F3)</f>
        <v>11296</v>
      </c>
      <c r="G4" s="116">
        <f t="shared" si="1"/>
        <v>1080</v>
      </c>
      <c r="H4" s="116">
        <f t="shared" si="1"/>
        <v>573</v>
      </c>
      <c r="I4" s="116">
        <f t="shared" si="1"/>
        <v>32</v>
      </c>
      <c r="J4" s="116">
        <f t="shared" si="1"/>
        <v>1685</v>
      </c>
      <c r="K4" s="117">
        <f t="shared" si="2"/>
        <v>0.149167847</v>
      </c>
    </row>
    <row r="6">
      <c r="A6" s="30" t="s">
        <v>24</v>
      </c>
      <c r="B6" s="31"/>
      <c r="C6" s="31"/>
      <c r="D6" s="32"/>
      <c r="E6" s="31"/>
      <c r="F6" s="31"/>
      <c r="G6" s="32"/>
      <c r="H6" s="32"/>
      <c r="I6" s="32"/>
      <c r="J6" s="32"/>
      <c r="K6" s="33"/>
    </row>
    <row r="7">
      <c r="A7" s="7" t="s">
        <v>1</v>
      </c>
      <c r="B7" s="8" t="s">
        <v>2</v>
      </c>
      <c r="C7" s="7" t="s">
        <v>142</v>
      </c>
      <c r="D7" s="10" t="s">
        <v>3</v>
      </c>
      <c r="E7" s="122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</row>
    <row r="8">
      <c r="A8" s="152" t="s">
        <v>247</v>
      </c>
      <c r="B8" s="35" t="s">
        <v>248</v>
      </c>
      <c r="C8" s="125" t="s">
        <v>193</v>
      </c>
      <c r="D8" s="108" t="s">
        <v>13</v>
      </c>
      <c r="E8" s="144" t="s">
        <v>249</v>
      </c>
      <c r="F8" s="128">
        <v>7483.0</v>
      </c>
      <c r="G8" s="129">
        <v>323.0</v>
      </c>
      <c r="H8" s="129">
        <v>59.0</v>
      </c>
      <c r="I8" s="129">
        <v>16.0</v>
      </c>
      <c r="J8" s="129">
        <f t="shared" ref="J8:J14" si="3">G8+H8+I8</f>
        <v>398</v>
      </c>
      <c r="K8" s="131">
        <f t="shared" ref="K8:K15" si="4">J8/F8</f>
        <v>0.05318722438</v>
      </c>
    </row>
    <row r="9">
      <c r="A9" s="153" t="s">
        <v>256</v>
      </c>
      <c r="B9" s="26" t="s">
        <v>257</v>
      </c>
      <c r="C9" s="133" t="s">
        <v>193</v>
      </c>
      <c r="D9" s="108" t="s">
        <v>13</v>
      </c>
      <c r="E9" s="135" t="s">
        <v>258</v>
      </c>
      <c r="F9" s="136">
        <v>4850.0</v>
      </c>
      <c r="G9" s="129">
        <v>276.0</v>
      </c>
      <c r="H9" s="129">
        <v>87.0</v>
      </c>
      <c r="I9" s="129">
        <v>32.0</v>
      </c>
      <c r="J9" s="129">
        <f t="shared" si="3"/>
        <v>395</v>
      </c>
      <c r="K9" s="131">
        <f t="shared" si="4"/>
        <v>0.08144329897</v>
      </c>
    </row>
    <row r="10">
      <c r="A10" s="152" t="s">
        <v>260</v>
      </c>
      <c r="B10" s="35" t="s">
        <v>261</v>
      </c>
      <c r="C10" s="125" t="s">
        <v>193</v>
      </c>
      <c r="D10" s="108" t="s">
        <v>13</v>
      </c>
      <c r="E10" s="144" t="s">
        <v>263</v>
      </c>
      <c r="F10" s="128">
        <v>4084.0</v>
      </c>
      <c r="G10" s="129">
        <v>238.0</v>
      </c>
      <c r="H10" s="129">
        <v>59.0</v>
      </c>
      <c r="I10" s="129">
        <v>20.0</v>
      </c>
      <c r="J10" s="129">
        <f t="shared" si="3"/>
        <v>317</v>
      </c>
      <c r="K10" s="131">
        <f t="shared" si="4"/>
        <v>0.07761998041</v>
      </c>
    </row>
    <row r="11">
      <c r="A11" s="153" t="s">
        <v>264</v>
      </c>
      <c r="B11" s="26" t="s">
        <v>265</v>
      </c>
      <c r="C11" s="163" t="s">
        <v>193</v>
      </c>
      <c r="D11" s="108" t="s">
        <v>13</v>
      </c>
      <c r="E11" s="135" t="s">
        <v>266</v>
      </c>
      <c r="F11" s="164">
        <v>4450.0</v>
      </c>
      <c r="G11" s="165">
        <v>138.0</v>
      </c>
      <c r="H11" s="165">
        <v>58.0</v>
      </c>
      <c r="I11" s="165">
        <v>2.0</v>
      </c>
      <c r="J11" s="55">
        <f t="shared" si="3"/>
        <v>198</v>
      </c>
      <c r="K11" s="166">
        <f t="shared" si="4"/>
        <v>0.04449438202</v>
      </c>
    </row>
    <row r="12">
      <c r="A12" s="152" t="s">
        <v>269</v>
      </c>
      <c r="B12" s="35" t="s">
        <v>270</v>
      </c>
      <c r="C12" s="167" t="s">
        <v>193</v>
      </c>
      <c r="D12" s="108" t="s">
        <v>13</v>
      </c>
      <c r="E12" s="144" t="s">
        <v>271</v>
      </c>
      <c r="F12" s="168">
        <v>4437.0</v>
      </c>
      <c r="G12" s="165">
        <v>193.0</v>
      </c>
      <c r="H12" s="165">
        <v>123.0</v>
      </c>
      <c r="I12" s="165">
        <v>31.0</v>
      </c>
      <c r="J12" s="55">
        <f t="shared" si="3"/>
        <v>347</v>
      </c>
      <c r="K12" s="166">
        <f t="shared" si="4"/>
        <v>0.07820599504</v>
      </c>
    </row>
    <row r="13">
      <c r="A13" s="153" t="s">
        <v>274</v>
      </c>
      <c r="B13" s="26" t="s">
        <v>275</v>
      </c>
      <c r="C13" s="169" t="s">
        <v>193</v>
      </c>
      <c r="D13" s="106" t="s">
        <v>13</v>
      </c>
      <c r="E13" s="135" t="s">
        <v>276</v>
      </c>
      <c r="F13" s="26">
        <v>2351.0</v>
      </c>
      <c r="G13" s="13">
        <v>119.0</v>
      </c>
      <c r="H13" s="13">
        <v>20.0</v>
      </c>
      <c r="I13" s="13">
        <v>14.0</v>
      </c>
      <c r="J13" s="170">
        <f t="shared" si="3"/>
        <v>153</v>
      </c>
      <c r="K13" s="166">
        <f t="shared" si="4"/>
        <v>0.06507868992</v>
      </c>
    </row>
    <row r="14">
      <c r="A14" s="152" t="s">
        <v>279</v>
      </c>
      <c r="B14" s="35">
        <v>3429.0</v>
      </c>
      <c r="C14" s="171" t="s">
        <v>193</v>
      </c>
      <c r="D14" s="106" t="s">
        <v>13</v>
      </c>
      <c r="E14" s="144" t="s">
        <v>280</v>
      </c>
      <c r="F14" s="35">
        <v>1725.0</v>
      </c>
      <c r="G14" s="13">
        <v>180.0</v>
      </c>
      <c r="H14" s="13">
        <v>101.0</v>
      </c>
      <c r="I14" s="13">
        <v>98.0</v>
      </c>
      <c r="J14" s="170">
        <f t="shared" si="3"/>
        <v>379</v>
      </c>
      <c r="K14" s="166">
        <f t="shared" si="4"/>
        <v>0.2197101449</v>
      </c>
    </row>
    <row r="15">
      <c r="A15" s="115" t="s">
        <v>19</v>
      </c>
      <c r="B15" s="24"/>
      <c r="C15" s="24"/>
      <c r="D15" s="3"/>
      <c r="E15" s="25"/>
      <c r="F15" s="116">
        <f t="shared" ref="F15:J15" si="5">SUM(F8:F14)</f>
        <v>29380</v>
      </c>
      <c r="G15" s="116">
        <f t="shared" si="5"/>
        <v>1467</v>
      </c>
      <c r="H15" s="116">
        <f t="shared" si="5"/>
        <v>507</v>
      </c>
      <c r="I15" s="116">
        <f t="shared" si="5"/>
        <v>213</v>
      </c>
      <c r="J15" s="116">
        <f t="shared" si="5"/>
        <v>2187</v>
      </c>
      <c r="K15" s="117">
        <f t="shared" si="4"/>
        <v>0.07443839346</v>
      </c>
    </row>
    <row r="16">
      <c r="E16" s="172" t="s">
        <v>284</v>
      </c>
      <c r="F16" s="173">
        <v>4197.1</v>
      </c>
      <c r="J16" s="147">
        <v>312.4</v>
      </c>
    </row>
  </sheetData>
  <mergeCells count="4">
    <mergeCell ref="A1:J1"/>
    <mergeCell ref="A4:E4"/>
    <mergeCell ref="A6:K6"/>
    <mergeCell ref="A15:E15"/>
  </mergeCells>
  <hyperlinks>
    <hyperlink r:id="rId1" ref="E3"/>
    <hyperlink r:id="rId2" ref="E8"/>
    <hyperlink r:id="rId3" ref="E9"/>
    <hyperlink r:id="rId4" ref="E10"/>
    <hyperlink r:id="rId5" ref="E11"/>
    <hyperlink r:id="rId6" ref="E12"/>
    <hyperlink r:id="rId7" ref="E13"/>
    <hyperlink r:id="rId8" ref="E14"/>
  </hyperlinks>
  <drawing r:id="rId9"/>
</worksheet>
</file>