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Summary" sheetId="1" r:id="rId5"/>
    <sheet state="visible" name="Summary By Quarter" sheetId="2" r:id="rId6"/>
    <sheet state="visible" name="XHS" sheetId="3" r:id="rId7"/>
    <sheet state="visible" name="WeChat" sheetId="4" r:id="rId8"/>
    <sheet state="visible" name="视频号" sheetId="5" r:id="rId9"/>
    <sheet state="visible" name="Douyin" sheetId="6" r:id="rId10"/>
    <sheet state="visible" name="Dou+" sheetId="7" r:id="rId11"/>
    <sheet state="visible" name="视频号加热" sheetId="8" r:id="rId12"/>
    <sheet state="visible" name="XHS聚光" sheetId="9" r:id="rId13"/>
    <sheet state="visible" name="XHS薯條" sheetId="10" r:id="rId14"/>
    <sheet state="visible" name="Organnic Engagement" sheetId="11" r:id="rId15"/>
    <sheet state="visible" name="Competitor Analysis (post numbe" sheetId="12" r:id="rId16"/>
    <sheet state="visible" name="Fans number" sheetId="13" r:id="rId17"/>
  </sheets>
  <definedNames/>
  <calcPr/>
</workbook>
</file>

<file path=xl/sharedStrings.xml><?xml version="1.0" encoding="utf-8"?>
<sst xmlns="http://schemas.openxmlformats.org/spreadsheetml/2006/main" count="828" uniqueCount="236">
  <si>
    <t>WeChat
 Post</t>
  </si>
  <si>
    <t>KPI: 6k fans in total</t>
  </si>
  <si>
    <t>Publish Date</t>
  </si>
  <si>
    <t>XHS 
Post</t>
  </si>
  <si>
    <t>Subject</t>
  </si>
  <si>
    <t>View</t>
  </si>
  <si>
    <t>Recommend</t>
  </si>
  <si>
    <t>Comment</t>
  </si>
  <si>
    <t>Like</t>
  </si>
  <si>
    <t>Share</t>
  </si>
  <si>
    <t>Total Engagement</t>
  </si>
  <si>
    <t>Engagement Rate</t>
  </si>
  <si>
    <t>Fans
Acquisition</t>
  </si>
  <si>
    <t>Link</t>
  </si>
  <si>
    <t>Saved</t>
  </si>
  <si>
    <t>Total Engagement Rate</t>
  </si>
  <si>
    <t>Fans Increased</t>
  </si>
  <si>
    <t>新春朗豪坊｜传统年货 × 潮流玩法双开挂</t>
  </si>
  <si>
    <t>KPI Achievement</t>
  </si>
  <si>
    <t>香港买拉夫劳伦就像呼吸一样简单！🤩</t>
  </si>
  <si>
    <t>Platforms</t>
  </si>
  <si>
    <t>Actual</t>
  </si>
  <si>
    <t>Target</t>
  </si>
  <si>
    <t>Achievement</t>
  </si>
  <si>
    <t>Q1 Actual</t>
  </si>
  <si>
    <t>Q1 Target</t>
  </si>
  <si>
    <t>Q1 Achievement</t>
  </si>
  <si>
    <t>Q2 Actual</t>
  </si>
  <si>
    <t>Q2 Target</t>
  </si>
  <si>
    <t>Q2 Achievement</t>
  </si>
  <si>
    <t>Full Year Actual</t>
  </si>
  <si>
    <t>Full Year Target</t>
  </si>
  <si>
    <t>XHS</t>
  </si>
  <si>
    <t>https://mp.weixin.qq.com/s/yXvv8Od1-VD495Nlz29Pew</t>
  </si>
  <si>
    <t>香港春节好看不贵伴手礼怎么买？一篇讲清楚</t>
  </si>
  <si>
    <t>Fans Growth</t>
  </si>
  <si>
    <t>Jan Total</t>
  </si>
  <si>
    <t>💥ZO&amp;FRIENDS登陆朗豪坊❗️拼手速了</t>
  </si>
  <si>
    <t>新春宠粉惊喜💄Gucci口红陪你过大年！！</t>
  </si>
  <si>
    <t>对我的香港特种兵行程满意到睡不着！🤩</t>
  </si>
  <si>
    <t>https://mp.weixin.qq.com/s/6F49eqJEfAMDOvOGJbdpmQ</t>
  </si>
  <si>
    <t>Fans Community</t>
  </si>
  <si>
    <t>情人节来香港买断货的联名香水！</t>
  </si>
  <si>
    <t>https://mp.weixin.qq.com/s/_LMrdOHvHUoE8AWUIf7t1Q</t>
  </si>
  <si>
    <t>KOL Campaign</t>
  </si>
  <si>
    <t>香港春节开年饭吃什么？这两家超好吃的！</t>
  </si>
  <si>
    <t>香港春节不打烊！来朗豪坊欢乐过年🧨</t>
  </si>
  <si>
    <t>Total Views</t>
  </si>
  <si>
    <t>贴挥春转好运🧧ZO&amp;FRIENDS 礼遇到！</t>
  </si>
  <si>
    <t>https://mp.weixin.qq.com/s/skpHn7jg4sqwADYZGjXIaQ</t>
  </si>
  <si>
    <t>开学装备卷疯了，朗豪坊承包你的所有体面</t>
  </si>
  <si>
    <t>Avg Engagement</t>
  </si>
  <si>
    <t>https://mp.weixin.qq.com/s/7dAUGTyJg-yaSS05FbjWAA</t>
  </si>
  <si>
    <t>来香港年宵市集🧨嗨玩港式年味！</t>
  </si>
  <si>
    <t>Feb Total</t>
  </si>
  <si>
    <t>Wechat</t>
  </si>
  <si>
    <t>新春焕新彩！香港朗豪坊给大家贺年啦🧧</t>
  </si>
  <si>
    <t>开年领好运🎉2月宠粉大惊喜请查收🎁</t>
  </si>
  <si>
    <t>疯惹！旺角都来抢JOGUMAN限定了🔥</t>
  </si>
  <si>
    <t>https://mp.weixin.qq.com/s/TYJpJBssj4jS3pSPk71wlg</t>
  </si>
  <si>
    <t>Mar Total</t>
  </si>
  <si>
    <t>Monthly Views</t>
  </si>
  <si>
    <t>Channel</t>
  </si>
  <si>
    <t>是谁在香港偶遇马力欧了🎮速速来玩！</t>
  </si>
  <si>
    <t>轻松小熊来旺角施魔法了！</t>
  </si>
  <si>
    <t>香港文创完全已经next level....!!!</t>
  </si>
  <si>
    <t>https://mp.weixin.qq.com/s/3NsXkgb5d2an-QjIqy9tCA</t>
  </si>
  <si>
    <t>Hi香港 本轻松小熊要来啦ଘ(੭ˊᵕˋ)੭*</t>
  </si>
  <si>
    <t>我宣布！3月香港旺角就是粉墨痛城🖤🩷</t>
  </si>
  <si>
    <t>i人天堂🚶‍♀️17间适合独处慢逛的店铺...</t>
  </si>
  <si>
    <t>香港免费送乔古漫🦕想要的朋友举手！</t>
  </si>
  <si>
    <t>Yearly Views</t>
  </si>
  <si>
    <t>https://mp.weixin.qq.com/s/jRT6IHTuaMUiBNPkNdmFww</t>
  </si>
  <si>
    <t>香港朗豪坊！轻松小熊见面啦ʕ •ᴥ•ʔ</t>
  </si>
  <si>
    <t>从“扫货”到“开吃”，换季优惠叠满不手软</t>
  </si>
  <si>
    <t>Douyin</t>
  </si>
  <si>
    <t>https://mp.weixin.qq.com/s/r_QSNNC2Ci11qEzHyJBPqg</t>
  </si>
  <si>
    <t>熟悉的HK嘉顿，在朗豪坊换了种新潮打开方式</t>
  </si>
  <si>
    <t>https://mp.weixin.qq.com/s/QqPMY2NEDw8bl84WrXUXTw</t>
  </si>
  <si>
    <t>i人天堂🚶‍♀️17间适合独处慢逛的店铺</t>
  </si>
  <si>
    <t>Apr Total</t>
  </si>
  <si>
    <t>40s教你在香港15折买爽大牌美妆⚠️</t>
  </si>
  <si>
    <t>香港街访🎤潮人为什么都爱朗豪坊？</t>
  </si>
  <si>
    <t>6w人在找的香港巨好闻香水👀破案了！！</t>
  </si>
  <si>
    <t>香港竟然半价吃饭？💥选对地方便宜过深圳</t>
  </si>
  <si>
    <t>朗豪坊这次把港味记忆玩明白了！</t>
  </si>
  <si>
    <t>https://mp.weixin.qq.com/s/47APJsR4RQkptn1fIrOt5A</t>
  </si>
  <si>
    <t>🥖嘉顿复古工厂惊喜登陆！假期香港见💥</t>
  </si>
  <si>
    <t>面包脑袋在香港连吃5️⃣家...(附地址！)</t>
  </si>
  <si>
    <t>https://mp.weixin.qq.com/s/D8Ec5dS-9k4xTkG126r2KA</t>
  </si>
  <si>
    <t>Page level statistics</t>
  </si>
  <si>
    <t>Jan</t>
  </si>
  <si>
    <t>Feb</t>
  </si>
  <si>
    <t>二次元党速码✨爱好者吃喝玩乐扫货指南</t>
  </si>
  <si>
    <t>Mar</t>
  </si>
  <si>
    <t>Apr</t>
  </si>
  <si>
    <t>May</t>
  </si>
  <si>
    <t>https://mp.weixin.qq.com/s/IRL-8UKOZliH40b0bW9-0A</t>
  </si>
  <si>
    <t>Jun</t>
  </si>
  <si>
    <t>Jul</t>
  </si>
  <si>
    <t>Aug</t>
  </si>
  <si>
    <t>Sep</t>
  </si>
  <si>
    <t>Oct</t>
  </si>
  <si>
    <t>Nov</t>
  </si>
  <si>
    <t>Dec</t>
  </si>
  <si>
    <t>2026 Total</t>
  </si>
  <si>
    <t>Fans Number</t>
  </si>
  <si>
    <t>港硕去哪里买漂亮衣服...这6️⃣家说明白✅</t>
  </si>
  <si>
    <t>https://mp.weixin.qq.com/s/ZPr28sWh4LmXP4glvFhrBA</t>
  </si>
  <si>
    <t>朗豪坊免费送巧克力！陈凯琳同款速冲🐛</t>
  </si>
  <si>
    <t>May Total</t>
  </si>
  <si>
    <t xml:space="preserve"> Fans Net growth</t>
  </si>
  <si>
    <t>每次来香港都要逛的饰品店✨4️⃣家码住！</t>
  </si>
  <si>
    <t>https://mp.weixin.qq.com/s/mEFvXSup8eeLw1H1xG9GVw</t>
  </si>
  <si>
    <t>⚽ 开锣！Sanrio characters啦啦队登陆香港</t>
  </si>
  <si>
    <t>https://mp.weixin.qq.com/s/NDYPB5_SqYR-BWWRLSutwQ</t>
  </si>
  <si>
    <t>香港二次元党必冲🔥朗豪坊封神了⚠️</t>
  </si>
  <si>
    <t>No. of Post</t>
  </si>
  <si>
    <t>已确定⚠️7月CHIIKAWA香港登岛啦啊啊！</t>
  </si>
  <si>
    <t>https://mp.weixin.qq.com/s/F_A6yBWol_3ISb8A82H4kw</t>
  </si>
  <si>
    <t>June Total</t>
  </si>
  <si>
    <t>港硕留子0社交？朗豪坊请大家吃饭啦！</t>
  </si>
  <si>
    <t>30s教你在香港旺角一折捡漏好东西💥</t>
  </si>
  <si>
    <t>Sanrio明星竞技场、潮流运动品牌一次逛到腿软！</t>
  </si>
  <si>
    <t>https://mp.weixin.qq.com/s/Tulj25LCjHK1gbU-Ze0l9g</t>
  </si>
  <si>
    <t>后悔没买😭谁知道朗豪坊这家饰品叫什么？</t>
  </si>
  <si>
    <t>听说香港都在抢多闻君🔥夏日偶像祭速冲！</t>
  </si>
  <si>
    <t>https://mp.weixin.qq.com/s/t1dRI5bEoXlh1ofaFfk1Ew</t>
  </si>
  <si>
    <t>我天...香港文创已经到这种程度啦？？</t>
  </si>
  <si>
    <t>WeChat</t>
  </si>
  <si>
    <t>Jul Total</t>
  </si>
  <si>
    <t>集合登岛！CHIIKAWA人鱼岛空降朗豪坊</t>
  </si>
  <si>
    <t>https://mp.weixin.qq.com/s/daZVmDCh5hk5YzgxLcnBfg</t>
  </si>
  <si>
    <t>香港速冲🔥Sanrio新系列可爱爆炸⚽️</t>
  </si>
  <si>
    <t>香港十几💰的美味！旺角记得多拿几个😭</t>
  </si>
  <si>
    <t>确定了⚠️7月CHIIKAWA要在香港登岛啦！！</t>
  </si>
  <si>
    <t>https://mp.weixin.qq.com/s/man_BNYSyeFZMcfT1mgf0A</t>
  </si>
  <si>
    <t>现场突发⚠️chiikawa真的在香港登岛了！！</t>
  </si>
  <si>
    <t>香港粤语文创...我真的没空陪你闹了！😂</t>
  </si>
  <si>
    <t>没人说的港硕开学潜规则😭少流太多泪❗️</t>
  </si>
  <si>
    <t>https://mp.weixin.qq.com/s/Zq-Ti1-4rtKF0D9Gqf4OHw</t>
  </si>
  <si>
    <t>Aug Total</t>
  </si>
  <si>
    <t>『香港避暑』旺角邂逅金庸的武侠世界</t>
  </si>
  <si>
    <t>人均150🍣在香港吃到了满意的漂亮饭！</t>
  </si>
  <si>
    <t xml:space="preserve">Engagement Rate </t>
  </si>
  <si>
    <t>60s教你来香港看chiikawa大电影 附路线❗️</t>
  </si>
  <si>
    <t>30s看在香港花的zui满意的几笔💰！</t>
  </si>
  <si>
    <t>视频号</t>
  </si>
  <si>
    <t>Dianping Performance</t>
  </si>
  <si>
    <t>Month</t>
  </si>
  <si>
    <t>Impression</t>
  </si>
  <si>
    <t>Visits</t>
  </si>
  <si>
    <t>Interested Users</t>
  </si>
  <si>
    <t>July</t>
  </si>
  <si>
    <t>June</t>
  </si>
  <si>
    <t>April</t>
  </si>
  <si>
    <t>March</t>
  </si>
  <si>
    <t>Post</t>
  </si>
  <si>
    <t>嘉顿复古工厂惊喜登陆！香港见💥</t>
  </si>
  <si>
    <t>面包脑袋在香港连吃5️⃣家...(附地址!)</t>
  </si>
  <si>
    <t>香港二次元党必冲🔥朗豪坊封神了</t>
  </si>
  <si>
    <t xml:space="preserve">香港速冲🔥Sanrio新系列可爱爆炸⚽️ </t>
  </si>
  <si>
    <t>30s看在香港花的zui满意的几笔💰</t>
  </si>
  <si>
    <t>Douyin
Post</t>
  </si>
  <si>
    <t>Jun Total</t>
  </si>
  <si>
    <t>现场突发⚠️chiikawa真的在香港登岛了！</t>
  </si>
  <si>
    <t>香港粤语文创...我真的没空陪你闹了！</t>
  </si>
  <si>
    <t>香港十几💰的美味！旺角记得多拿几个</t>
  </si>
  <si>
    <t>没人说的港硕开学潜规则😭少流太多</t>
  </si>
  <si>
    <t>Period</t>
  </si>
  <si>
    <t>Objectives</t>
  </si>
  <si>
    <t>Cost￥</t>
  </si>
  <si>
    <t>Likes</t>
  </si>
  <si>
    <t>Follow</t>
  </si>
  <si>
    <t>Engagement</t>
  </si>
  <si>
    <t>Impressions</t>
  </si>
  <si>
    <t>￥50</t>
  </si>
  <si>
    <t>Total</t>
  </si>
  <si>
    <t>￥150</t>
  </si>
  <si>
    <t>CPE</t>
  </si>
  <si>
    <t>DOU+</t>
  </si>
  <si>
    <t>￥300</t>
  </si>
  <si>
    <t>￥250</t>
  </si>
  <si>
    <t>￥51.6</t>
  </si>
  <si>
    <t>￥253.2</t>
  </si>
  <si>
    <t xml:space="preserve">followers </t>
  </si>
  <si>
    <t xml:space="preserve"> ˇ</t>
  </si>
  <si>
    <t>engagement</t>
  </si>
  <si>
    <t>我天...香港文创已经到这种程度啦？</t>
  </si>
  <si>
    <t>XHS Subject</t>
  </si>
  <si>
    <t>Clicks</t>
  </si>
  <si>
    <t>Total
Engagement</t>
  </si>
  <si>
    <t>CTR</t>
  </si>
  <si>
    <t>CPC ¥</t>
  </si>
  <si>
    <t>CPE ¥</t>
  </si>
  <si>
    <t>CPM ¥</t>
  </si>
  <si>
    <t xml:space="preserve">Ad budget </t>
  </si>
  <si>
    <t>朗豪坊祝大家新年快乐🥂2026继续嗨！</t>
  </si>
  <si>
    <t>互动量</t>
  </si>
  <si>
    <t>Views</t>
  </si>
  <si>
    <t>讚與收藏</t>
  </si>
  <si>
    <t>5000RMB/Month</t>
  </si>
  <si>
    <t>【香港朗豪坊！轻松小熊见面啦ʕ •ᴥ•ʔ】</t>
  </si>
  <si>
    <t>【i人天堂🚶‍♀️17间适合独处慢逛的店铺】</t>
  </si>
  <si>
    <t>【40s教你在香港15折买爽大牌美妆⚠️】</t>
  </si>
  <si>
    <t>【香港街访🎤潮人为什么都爱朗豪坊？】</t>
  </si>
  <si>
    <t>【6w人在找的香港巨好闻香水👀破案了！！】</t>
  </si>
  <si>
    <t>【朗豪坊这次把港味记忆玩明白了！】</t>
  </si>
  <si>
    <t>【香港竟然半价吃饭？💥选对地方便宜过深圳】</t>
  </si>
  <si>
    <t>【🥖嘉顿复古工厂惊喜登陆！假期香港见💥】</t>
  </si>
  <si>
    <t>港硕去哪里买漂亮衣服...这6️⃣家说明白✅️</t>
  </si>
  <si>
    <t>Mall</t>
  </si>
  <si>
    <t>Engagements</t>
  </si>
  <si>
    <t>Post number</t>
  </si>
  <si>
    <t>海港城</t>
  </si>
  <si>
    <t xml:space="preserve">  海港城</t>
  </si>
  <si>
    <t>香港朗豪坊Langham Place</t>
  </si>
  <si>
    <t>K11 MUSEA</t>
  </si>
  <si>
    <t>香港旺角新世纪广场</t>
  </si>
  <si>
    <t>香港太古广场</t>
  </si>
  <si>
    <t xml:space="preserve"> 香港沙田新城市广场 </t>
  </si>
  <si>
    <t xml:space="preserve">香港沙田新城市广场 </t>
  </si>
  <si>
    <t>香港时代广场</t>
  </si>
  <si>
    <t>香港元朗形点商场</t>
  </si>
  <si>
    <t xml:space="preserve">  香港置地广场</t>
  </si>
  <si>
    <t xml:space="preserve">香港太古广场 </t>
  </si>
  <si>
    <t>香港ifc商场</t>
  </si>
  <si>
    <t>香港置地广场</t>
  </si>
  <si>
    <t>Post Number</t>
  </si>
  <si>
    <t>Avg views</t>
  </si>
  <si>
    <t>Engagement rate</t>
  </si>
  <si>
    <t>香港沙田新城市广场</t>
  </si>
  <si>
    <t>香港太古广场（Pacific Place HK)</t>
  </si>
  <si>
    <t>宠粉福利选中了你🔔请领取美丽眼影胭脂盘</t>
  </si>
  <si>
    <t>Fans number</t>
  </si>
  <si>
    <t>Fans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</si>
</sst>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&quot; &quot;d"/>
    <numFmt numFmtId="165" formatCode="mmm d"/>
    <numFmt numFmtId="166" formatCode="mmmm d"/>
    <numFmt numFmtId="167" formatCode="mm/dd"/>
    <numFmt numFmtId="168" formatCode="&quot;$&quot;#,##0.00"/>
    <numFmt numFmtId="169" formatCode="[$¥]#,##0.00"/>
    <numFmt numFmtId="170" formatCode="m/d"/>
  </numFmts>
  <fonts count="3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1F1F1F"/>
      <name val="Calibri"/>
    </font>
    <font>
      <sz val="11.0"/>
      <color theme="1"/>
      <name val="Calibri"/>
    </font>
    <font>
      <sz val="11.0"/>
      <color rgb="FF1F1F1F"/>
      <name val="Calibri"/>
    </font>
    <font>
      <sz val="11.0"/>
      <color rgb="FF000000"/>
      <name val="Calibri"/>
    </font>
    <font>
      <sz val="10.0"/>
      <color rgb="FF000000"/>
      <name val="Calibri"/>
    </font>
    <font>
      <b/>
      <sz val="12.0"/>
      <color rgb="FF1F1F1F"/>
      <name val="Calibri"/>
    </font>
    <font/>
    <font>
      <u/>
      <sz val="11.0"/>
      <color rgb="FF0000FF"/>
      <name val="Calibri"/>
    </font>
    <font>
      <color theme="1"/>
      <name val="Arial"/>
      <scheme val="minor"/>
    </font>
    <font>
      <b/>
      <sz val="11.0"/>
      <color rgb="FF000000"/>
      <name val="Calibri"/>
    </font>
    <font>
      <u/>
      <color rgb="FF0000FF"/>
    </font>
    <font>
      <u/>
      <color rgb="FF0000FF"/>
    </font>
    <font>
      <b/>
      <color theme="1"/>
      <name val="Arial"/>
      <scheme val="minor"/>
    </font>
    <font>
      <sz val="10.0"/>
      <color rgb="FF333333"/>
      <name val="System-ui"/>
    </font>
    <font>
      <u/>
      <color rgb="FF000000"/>
      <name val="Arial"/>
      <scheme val="minor"/>
    </font>
    <font>
      <sz val="11.0"/>
      <color rgb="FF000000"/>
      <name val="Arial"/>
    </font>
    <font>
      <color rgb="FF000000"/>
      <name val="Arial"/>
      <scheme val="minor"/>
    </font>
    <font>
      <sz val="11.0"/>
      <color rgb="FF161823"/>
      <name val="Arial"/>
    </font>
    <font>
      <sz val="11.0"/>
      <color rgb="FF161823"/>
      <name val="-apple-system"/>
    </font>
    <font>
      <color rgb="FFFF0000"/>
      <name val="Arial"/>
      <scheme val="minor"/>
    </font>
    <font>
      <b/>
      <sz val="11.0"/>
      <color theme="1"/>
      <name val="Times New Roman"/>
    </font>
    <font>
      <b/>
      <sz val="12.0"/>
      <color theme="1"/>
      <name val="Calibri"/>
    </font>
    <font>
      <color theme="1"/>
      <name val="Calibri"/>
    </font>
    <font>
      <sz val="10.0"/>
      <color rgb="FF333333"/>
      <name val="Arial"/>
    </font>
    <font>
      <b/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color rgb="FF000000"/>
      <name val="Calibri"/>
    </font>
    <font>
      <sz val="10.0"/>
      <color theme="1"/>
      <name val="Calibri"/>
    </font>
    <font>
      <color theme="1"/>
      <name val="Arial"/>
    </font>
    <font>
      <sz val="9.0"/>
      <color rgb="FF000000"/>
      <name val="Arial"/>
    </font>
    <font>
      <sz val="9.0"/>
      <color rgb="FF000000"/>
      <name val="-apple-system"/>
    </font>
    <font>
      <sz val="10.0"/>
      <color rgb="FF000000"/>
      <name val="宋体"/>
    </font>
    <font>
      <sz val="11.0"/>
      <color rgb="FF000000"/>
      <name val="宋体"/>
    </font>
    <font>
      <b/>
      <sz val="10.0"/>
      <color rgb="FF000000"/>
      <name val="宋体"/>
    </font>
  </fonts>
  <fills count="2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FAFAFA"/>
        <bgColor rgb="FFFAFAFA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EFEFE"/>
        <bgColor rgb="FFFEFEFE"/>
      </patternFill>
    </fill>
    <fill>
      <patternFill patternType="solid">
        <fgColor rgb="FFFDFDFD"/>
        <bgColor rgb="FFFDFDFD"/>
      </patternFill>
    </fill>
  </fills>
  <borders count="11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readingOrder="0" vertical="bottom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Font="1"/>
    <xf borderId="2" fillId="4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 vertical="bottom"/>
    </xf>
    <xf borderId="2" fillId="0" fontId="3" numFmtId="0" xfId="0" applyAlignment="1" applyBorder="1" applyFont="1">
      <alignment horizontal="center" readingOrder="0" vertical="center"/>
    </xf>
    <xf borderId="2" fillId="0" fontId="5" numFmtId="164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vertical="center"/>
    </xf>
    <xf borderId="2" fillId="0" fontId="6" numFmtId="0" xfId="0" applyAlignment="1" applyBorder="1" applyFont="1">
      <alignment horizontal="left" readingOrder="0" vertical="center"/>
    </xf>
    <xf borderId="3" fillId="3" fontId="7" numFmtId="0" xfId="0" applyAlignment="1" applyBorder="1" applyFill="1" applyFont="1">
      <alignment horizontal="center" readingOrder="0" vertical="bottom"/>
    </xf>
    <xf borderId="0" fillId="0" fontId="3" numFmtId="0" xfId="0" applyAlignment="1" applyFont="1">
      <alignment vertical="center"/>
    </xf>
    <xf borderId="4" fillId="0" fontId="8" numFmtId="0" xfId="0" applyBorder="1" applyFont="1"/>
    <xf borderId="2" fillId="0" fontId="5" numFmtId="0" xfId="0" applyAlignment="1" applyBorder="1" applyFont="1">
      <alignment horizontal="center" readingOrder="0" vertical="center"/>
    </xf>
    <xf borderId="5" fillId="0" fontId="8" numFmtId="0" xfId="0" applyBorder="1" applyFont="1"/>
    <xf borderId="3" fillId="5" fontId="7" numFmtId="0" xfId="0" applyAlignment="1" applyBorder="1" applyFill="1" applyFont="1">
      <alignment horizontal="center" readingOrder="0" vertical="bottom"/>
    </xf>
    <xf borderId="2" fillId="0" fontId="3" numFmtId="0" xfId="0" applyAlignment="1" applyBorder="1" applyFont="1">
      <alignment horizontal="center"/>
    </xf>
    <xf borderId="2" fillId="0" fontId="5" numFmtId="3" xfId="0" applyAlignment="1" applyBorder="1" applyFont="1" applyNumberFormat="1">
      <alignment horizontal="center" readingOrder="0" vertical="center"/>
    </xf>
    <xf borderId="2" fillId="4" fontId="2" numFmtId="0" xfId="0" applyAlignment="1" applyBorder="1" applyFill="1" applyFont="1">
      <alignment horizontal="left" readingOrder="0" vertical="bottom"/>
    </xf>
    <xf borderId="2" fillId="5" fontId="2" numFmtId="0" xfId="0" applyAlignment="1" applyBorder="1" applyFill="1" applyFont="1">
      <alignment horizontal="left" readingOrder="0" vertical="bottom"/>
    </xf>
    <xf borderId="2" fillId="0" fontId="3" numFmtId="3" xfId="0" applyAlignment="1" applyBorder="1" applyFont="1" applyNumberFormat="1">
      <alignment horizontal="center"/>
    </xf>
    <xf borderId="2" fillId="0" fontId="3" numFmtId="10" xfId="0" applyAlignment="1" applyBorder="1" applyFont="1" applyNumberFormat="1">
      <alignment horizontal="center"/>
    </xf>
    <xf borderId="3" fillId="4" fontId="2" numFmtId="0" xfId="0" applyAlignment="1" applyBorder="1" applyFill="1" applyFont="1">
      <alignment horizontal="left" readingOrder="0" vertical="bottom"/>
    </xf>
    <xf borderId="2" fillId="0" fontId="9" numFmtId="0" xfId="0" applyAlignment="1" applyBorder="1" applyFont="1">
      <alignment readingOrder="0" shrinkToFit="0" vertical="center" wrapText="0"/>
    </xf>
    <xf borderId="3" fillId="6" fontId="1" numFmtId="0" xfId="0" applyAlignment="1" applyBorder="1" applyFill="1" applyFont="1">
      <alignment horizontal="center" readingOrder="0" vertical="center"/>
    </xf>
    <xf borderId="2" fillId="4" fontId="1" numFmtId="3" xfId="0" applyAlignment="1" applyBorder="1" applyFill="1" applyFont="1" applyNumberFormat="1">
      <alignment horizontal="left"/>
    </xf>
    <xf borderId="2" fillId="4" fontId="1" numFmtId="3" xfId="0" applyAlignment="1" applyBorder="1" applyFill="1" applyFont="1" applyNumberFormat="1">
      <alignment horizontal="left" readingOrder="0"/>
    </xf>
    <xf borderId="2" fillId="6" fontId="1" numFmtId="3" xfId="0" applyAlignment="1" applyBorder="1" applyFill="1" applyFont="1" applyNumberFormat="1">
      <alignment horizontal="center" vertical="center"/>
    </xf>
    <xf borderId="2" fillId="4" fontId="1" numFmtId="10" xfId="0" applyAlignment="1" applyBorder="1" applyFill="1" applyFont="1" applyNumberFormat="1">
      <alignment horizontal="left"/>
    </xf>
    <xf borderId="0" fillId="0" fontId="3" numFmtId="0" xfId="0" applyAlignment="1" applyFont="1">
      <alignment readingOrder="0"/>
    </xf>
    <xf borderId="3" fillId="4" fontId="1" numFmtId="0" xfId="0" applyAlignment="1" applyBorder="1" applyFill="1" applyFont="1">
      <alignment horizontal="center" readingOrder="0" vertical="center"/>
    </xf>
    <xf borderId="2" fillId="6" fontId="1" numFmtId="10" xfId="0" applyAlignment="1" applyBorder="1" applyFill="1" applyFont="1" applyNumberFormat="1">
      <alignment horizontal="center" vertical="center"/>
    </xf>
    <xf borderId="2" fillId="4" fontId="5" numFmtId="3" xfId="0" applyAlignment="1" applyBorder="1" applyFill="1" applyFont="1" applyNumberFormat="1">
      <alignment horizontal="center" readingOrder="0" vertical="center"/>
    </xf>
    <xf borderId="2" fillId="6" fontId="3" numFmtId="0" xfId="0" applyAlignment="1" applyBorder="1" applyFill="1" applyFont="1">
      <alignment vertical="center"/>
    </xf>
    <xf borderId="2" fillId="4" fontId="1" numFmtId="10" xfId="0" applyAlignment="1" applyBorder="1" applyFill="1" applyFont="1" applyNumberFormat="1">
      <alignment horizontal="left" readingOrder="0"/>
    </xf>
    <xf borderId="2" fillId="4" fontId="1" numFmtId="9" xfId="0" applyAlignment="1" applyBorder="1" applyFill="1" applyFont="1" applyNumberFormat="1">
      <alignment horizontal="left" readingOrder="0"/>
    </xf>
    <xf borderId="2" fillId="4" fontId="5" numFmtId="10" xfId="0" applyAlignment="1" applyBorder="1" applyFill="1" applyFont="1" applyNumberFormat="1">
      <alignment horizontal="center" readingOrder="0" vertical="center"/>
    </xf>
    <xf borderId="2" fillId="4" fontId="1" numFmtId="0" xfId="0" applyAlignment="1" applyBorder="1" applyFill="1" applyFont="1">
      <alignment horizontal="left" readingOrder="0"/>
    </xf>
    <xf borderId="3" fillId="5" fontId="2" numFmtId="0" xfId="0" applyAlignment="1" applyBorder="1" applyFill="1" applyFont="1">
      <alignment horizontal="left" readingOrder="0" vertical="bottom"/>
    </xf>
    <xf borderId="2" fillId="5" fontId="1" numFmtId="3" xfId="0" applyAlignment="1" applyBorder="1" applyFill="1" applyFont="1" applyNumberFormat="1">
      <alignment horizontal="left" readingOrder="0"/>
    </xf>
    <xf borderId="2" fillId="5" fontId="1" numFmtId="10" xfId="0" applyAlignment="1" applyBorder="1" applyFill="1" applyFont="1" applyNumberFormat="1">
      <alignment horizontal="left"/>
    </xf>
    <xf borderId="2" fillId="0" fontId="3" numFmtId="0" xfId="0" applyAlignment="1" applyBorder="1" applyFont="1">
      <alignment horizontal="center" readingOrder="0"/>
    </xf>
    <xf borderId="3" fillId="6" fontId="2" numFmtId="0" xfId="0" applyAlignment="1" applyBorder="1" applyFill="1" applyFont="1">
      <alignment horizontal="left" readingOrder="0" vertical="bottom"/>
    </xf>
    <xf borderId="2" fillId="6" fontId="2" numFmtId="0" xfId="0" applyAlignment="1" applyBorder="1" applyFill="1" applyFont="1">
      <alignment horizontal="left" readingOrder="0" vertical="bottom"/>
    </xf>
    <xf borderId="2" fillId="6" fontId="1" numFmtId="3" xfId="0" applyAlignment="1" applyBorder="1" applyFill="1" applyFont="1" applyNumberFormat="1">
      <alignment horizontal="left"/>
    </xf>
    <xf borderId="2" fillId="6" fontId="1" numFmtId="3" xfId="0" applyAlignment="1" applyBorder="1" applyFill="1" applyFont="1" applyNumberFormat="1">
      <alignment horizontal="left" readingOrder="0"/>
    </xf>
    <xf borderId="2" fillId="6" fontId="1" numFmtId="10" xfId="0" applyAlignment="1" applyBorder="1" applyFill="1" applyFont="1" applyNumberFormat="1">
      <alignment horizontal="left"/>
    </xf>
    <xf borderId="2" fillId="0" fontId="10" numFmtId="0" xfId="0" applyAlignment="1" applyBorder="1" applyFont="1">
      <alignment horizontal="center" readingOrder="0"/>
    </xf>
    <xf borderId="2" fillId="0" fontId="10" numFmtId="165" xfId="0" applyAlignment="1" applyBorder="1" applyFont="1" applyNumberFormat="1">
      <alignment horizontal="center" readingOrder="0"/>
    </xf>
    <xf borderId="3" fillId="7" fontId="2" numFmtId="0" xfId="0" applyAlignment="1" applyBorder="1" applyFill="1" applyFont="1">
      <alignment horizontal="left" readingOrder="0" vertical="bottom"/>
    </xf>
    <xf borderId="2" fillId="0" fontId="10" numFmtId="0" xfId="0" applyAlignment="1" applyBorder="1" applyFont="1">
      <alignment horizontal="left" readingOrder="0"/>
    </xf>
    <xf borderId="2" fillId="0" fontId="10" numFmtId="0" xfId="0" applyAlignment="1" applyBorder="1" applyFont="1">
      <alignment horizontal="center"/>
    </xf>
    <xf borderId="2" fillId="7" fontId="2" numFmtId="0" xfId="0" applyAlignment="1" applyBorder="1" applyFill="1" applyFont="1">
      <alignment horizontal="left" readingOrder="0" vertical="bottom"/>
    </xf>
    <xf borderId="2" fillId="0" fontId="10" numFmtId="10" xfId="0" applyAlignment="1" applyBorder="1" applyFont="1" applyNumberFormat="1">
      <alignment horizontal="center"/>
    </xf>
    <xf borderId="2" fillId="7" fontId="1" numFmtId="3" xfId="0" applyAlignment="1" applyBorder="1" applyFill="1" applyFont="1" applyNumberFormat="1">
      <alignment horizontal="left"/>
    </xf>
    <xf borderId="2" fillId="7" fontId="1" numFmtId="3" xfId="0" applyAlignment="1" applyBorder="1" applyFill="1" applyFont="1" applyNumberFormat="1">
      <alignment horizontal="left" readingOrder="0"/>
    </xf>
    <xf borderId="2" fillId="7" fontId="11" numFmtId="10" xfId="0" applyAlignment="1" applyBorder="1" applyFill="1" applyFont="1" applyNumberFormat="1">
      <alignment horizontal="left"/>
    </xf>
    <xf borderId="2" fillId="0" fontId="12" numFmtId="0" xfId="0" applyAlignment="1" applyBorder="1" applyFont="1">
      <alignment readingOrder="0"/>
    </xf>
    <xf borderId="2" fillId="7" fontId="1" numFmtId="10" xfId="0" applyAlignment="1" applyBorder="1" applyFill="1" applyFont="1" applyNumberFormat="1">
      <alignment horizontal="left"/>
    </xf>
    <xf borderId="2" fillId="0" fontId="13" numFmtId="0" xfId="0" applyAlignment="1" applyBorder="1" applyFont="1">
      <alignment readingOrder="0"/>
    </xf>
    <xf borderId="3" fillId="8" fontId="2" numFmtId="0" xfId="0" applyAlignment="1" applyBorder="1" applyFill="1" applyFont="1">
      <alignment horizontal="left" readingOrder="0" vertical="bottom"/>
    </xf>
    <xf borderId="2" fillId="6" fontId="1" numFmtId="10" xfId="0" applyAlignment="1" applyBorder="1" applyFill="1" applyFont="1" applyNumberFormat="1">
      <alignment horizontal="left" readingOrder="0"/>
    </xf>
    <xf borderId="2" fillId="8" fontId="2" numFmtId="0" xfId="0" applyAlignment="1" applyBorder="1" applyFill="1" applyFont="1">
      <alignment horizontal="left" readingOrder="0" vertical="bottom"/>
    </xf>
    <xf borderId="2" fillId="8" fontId="1" numFmtId="3" xfId="0" applyAlignment="1" applyBorder="1" applyFill="1" applyFont="1" applyNumberFormat="1">
      <alignment horizontal="left"/>
    </xf>
    <xf borderId="2" fillId="8" fontId="1" numFmtId="3" xfId="0" applyAlignment="1" applyBorder="1" applyFill="1" applyFont="1" applyNumberFormat="1">
      <alignment horizontal="left" readingOrder="0"/>
    </xf>
    <xf borderId="2" fillId="0" fontId="3" numFmtId="165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left" readingOrder="0" vertical="center"/>
    </xf>
    <xf borderId="3" fillId="6" fontId="14" numFmtId="0" xfId="0" applyAlignment="1" applyBorder="1" applyFill="1" applyFont="1">
      <alignment horizontal="center" readingOrder="0"/>
    </xf>
    <xf borderId="2" fillId="0" fontId="3" numFmtId="10" xfId="0" applyAlignment="1" applyBorder="1" applyFont="1" applyNumberFormat="1">
      <alignment horizontal="center" vertical="center"/>
    </xf>
    <xf borderId="2" fillId="6" fontId="14" numFmtId="3" xfId="0" applyAlignment="1" applyBorder="1" applyFill="1" applyFont="1" applyNumberFormat="1">
      <alignment horizontal="center"/>
    </xf>
    <xf borderId="2" fillId="8" fontId="1" numFmtId="10" xfId="0" applyAlignment="1" applyBorder="1" applyFill="1" applyFont="1" applyNumberFormat="1">
      <alignment horizontal="left"/>
    </xf>
    <xf borderId="2" fillId="6" fontId="14" numFmtId="0" xfId="0" applyAlignment="1" applyBorder="1" applyFill="1" applyFont="1">
      <alignment horizontal="center"/>
    </xf>
    <xf borderId="2" fillId="6" fontId="14" numFmtId="10" xfId="0" applyAlignment="1" applyBorder="1" applyFill="1" applyFont="1" applyNumberFormat="1">
      <alignment horizontal="center"/>
    </xf>
    <xf borderId="2" fillId="6" fontId="10" numFmtId="0" xfId="0" applyBorder="1" applyFill="1" applyFont="1"/>
    <xf borderId="2" fillId="0" fontId="10" numFmtId="166" xfId="0" applyAlignment="1" applyBorder="1" applyFont="1" applyNumberFormat="1">
      <alignment horizontal="center" readingOrder="0"/>
    </xf>
    <xf borderId="2" fillId="7" fontId="1" numFmtId="10" xfId="0" applyAlignment="1" applyBorder="1" applyFill="1" applyFont="1" applyNumberFormat="1">
      <alignment horizontal="left" readingOrder="0"/>
    </xf>
    <xf borderId="2" fillId="9" fontId="10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 vertical="bottom"/>
    </xf>
    <xf borderId="0" fillId="4" fontId="1" numFmtId="0" xfId="0" applyAlignment="1" applyFill="1" applyFont="1">
      <alignment horizontal="center" readingOrder="0" vertical="center"/>
    </xf>
    <xf borderId="2" fillId="4" fontId="2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2" fillId="4" fontId="3" numFmtId="3" xfId="0" applyAlignment="1" applyBorder="1" applyFill="1" applyFont="1" applyNumberFormat="1">
      <alignment horizontal="center" vertical="center"/>
    </xf>
    <xf borderId="2" fillId="4" fontId="1" numFmtId="0" xfId="0" applyAlignment="1" applyBorder="1" applyFill="1" applyFont="1">
      <alignment horizontal="center" readingOrder="0" vertical="bottom"/>
    </xf>
    <xf borderId="2" fillId="4" fontId="3" numFmtId="10" xfId="0" applyAlignment="1" applyBorder="1" applyFill="1" applyFont="1" applyNumberFormat="1">
      <alignment horizontal="center" vertical="center"/>
    </xf>
    <xf borderId="2" fillId="0" fontId="4" numFmtId="0" xfId="0" applyAlignment="1" applyBorder="1" applyFont="1">
      <alignment horizontal="center" vertical="bottom"/>
    </xf>
    <xf borderId="2" fillId="8" fontId="1" numFmtId="0" xfId="0" applyAlignment="1" applyBorder="1" applyFill="1" applyFont="1">
      <alignment horizontal="left" readingOrder="0"/>
    </xf>
    <xf borderId="2" fillId="0" fontId="3" numFmtId="3" xfId="0" applyAlignment="1" applyBorder="1" applyFont="1" applyNumberFormat="1">
      <alignment horizontal="center" readingOrder="0"/>
    </xf>
    <xf borderId="2" fillId="4" fontId="3" numFmtId="0" xfId="0" applyAlignment="1" applyBorder="1" applyFill="1" applyFont="1">
      <alignment horizontal="center" vertical="center"/>
    </xf>
    <xf borderId="2" fillId="9" fontId="3" numFmtId="3" xfId="0" applyAlignment="1" applyBorder="1" applyFill="1" applyFont="1" applyNumberFormat="1">
      <alignment horizontal="center" readingOrder="0"/>
    </xf>
    <xf borderId="2" fillId="8" fontId="1" numFmtId="0" xfId="0" applyAlignment="1" applyBorder="1" applyFill="1" applyFont="1">
      <alignment horizontal="left"/>
    </xf>
    <xf borderId="2" fillId="0" fontId="3" numFmtId="166" xfId="0" applyAlignment="1" applyBorder="1" applyFont="1" applyNumberFormat="1">
      <alignment horizontal="center" readingOrder="0" vertical="center"/>
    </xf>
    <xf borderId="2" fillId="9" fontId="3" numFmtId="0" xfId="0" applyAlignment="1" applyBorder="1" applyFill="1" applyFont="1">
      <alignment horizontal="center" readingOrder="0" vertical="center"/>
    </xf>
    <xf borderId="2" fillId="8" fontId="1" numFmtId="10" xfId="0" applyAlignment="1" applyBorder="1" applyFill="1" applyFont="1" applyNumberFormat="1">
      <alignment horizontal="left" readingOrder="0"/>
    </xf>
    <xf borderId="2" fillId="9" fontId="3" numFmtId="0" xfId="0" applyAlignment="1" applyBorder="1" applyFill="1" applyFont="1">
      <alignment horizontal="center" vertical="center"/>
    </xf>
    <xf borderId="2" fillId="9" fontId="15" numFmtId="0" xfId="0" applyAlignment="1" applyBorder="1" applyFill="1" applyFont="1">
      <alignment readingOrder="0"/>
    </xf>
    <xf borderId="2" fillId="9" fontId="3" numFmtId="10" xfId="0" applyAlignment="1" applyBorder="1" applyFill="1" applyFont="1" applyNumberFormat="1">
      <alignment horizontal="center" vertical="center"/>
    </xf>
    <xf borderId="2" fillId="0" fontId="3" numFmtId="3" xfId="0" applyAlignment="1" applyBorder="1" applyFont="1" applyNumberFormat="1">
      <alignment horizontal="center" readingOrder="0" vertical="bottom"/>
    </xf>
    <xf borderId="2" fillId="9" fontId="3" numFmtId="3" xfId="0" applyAlignment="1" applyBorder="1" applyFill="1" applyFont="1" applyNumberFormat="1">
      <alignment horizontal="center" readingOrder="0" vertical="bottom"/>
    </xf>
    <xf borderId="0" fillId="0" fontId="10" numFmtId="0" xfId="0" applyAlignment="1" applyFont="1">
      <alignment horizontal="center" readingOrder="0"/>
    </xf>
    <xf borderId="2" fillId="3" fontId="3" numFmtId="10" xfId="0" applyAlignment="1" applyBorder="1" applyFill="1" applyFont="1" applyNumberFormat="1">
      <alignment horizontal="center"/>
    </xf>
    <xf borderId="2" fillId="3" fontId="3" numFmtId="10" xfId="0" applyAlignment="1" applyBorder="1" applyFill="1" applyFont="1" applyNumberFormat="1">
      <alignment horizontal="center" readingOrder="0"/>
    </xf>
    <xf borderId="2" fillId="0" fontId="3" numFmtId="0" xfId="0" applyBorder="1" applyFont="1"/>
    <xf borderId="2" fillId="0" fontId="3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2" fillId="2" fontId="2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2" fillId="6" fontId="14" numFmtId="10" xfId="0" applyAlignment="1" applyBorder="1" applyFill="1" applyFont="1" applyNumberFormat="1">
      <alignment horizontal="center" readingOrder="0"/>
    </xf>
    <xf borderId="2" fillId="2" fontId="1" numFmtId="0" xfId="0" applyAlignment="1" applyBorder="1" applyFill="1" applyFont="1">
      <alignment horizontal="center" readingOrder="0" vertical="bottom"/>
    </xf>
    <xf borderId="2" fillId="6" fontId="14" numFmtId="0" xfId="0" applyAlignment="1" applyBorder="1" applyFill="1" applyFont="1">
      <alignment horizontal="center" readingOrder="0"/>
    </xf>
    <xf borderId="2" fillId="0" fontId="4" numFmtId="3" xfId="0" applyAlignment="1" applyBorder="1" applyFont="1" applyNumberFormat="1">
      <alignment horizontal="center" readingOrder="0" vertical="bottom"/>
    </xf>
    <xf borderId="2" fillId="0" fontId="16" numFmtId="0" xfId="0" applyAlignment="1" applyBorder="1" applyFont="1">
      <alignment readingOrder="0"/>
    </xf>
    <xf borderId="0" fillId="0" fontId="10" numFmtId="0" xfId="0" applyAlignment="1" applyFont="1">
      <alignment horizontal="left"/>
    </xf>
    <xf borderId="2" fillId="0" fontId="3" numFmtId="10" xfId="0" applyAlignment="1" applyBorder="1" applyFont="1" applyNumberFormat="1">
      <alignment horizontal="center" readingOrder="0"/>
    </xf>
    <xf borderId="2" fillId="9" fontId="3" numFmtId="10" xfId="0" applyAlignment="1" applyBorder="1" applyFill="1" applyFont="1" applyNumberFormat="1">
      <alignment horizontal="center" readingOrder="0"/>
    </xf>
    <xf borderId="2" fillId="10" fontId="2" numFmtId="0" xfId="0" applyAlignment="1" applyBorder="1" applyFill="1" applyFont="1">
      <alignment horizontal="center" vertical="bottom"/>
    </xf>
    <xf borderId="2" fillId="10" fontId="1" numFmtId="0" xfId="0" applyAlignment="1" applyBorder="1" applyFill="1" applyFont="1">
      <alignment horizontal="center" vertical="bottom"/>
    </xf>
    <xf borderId="2" fillId="10" fontId="1" numFmtId="0" xfId="0" applyAlignment="1" applyBorder="1" applyFill="1" applyFont="1">
      <alignment horizontal="center" readingOrder="0" vertical="bottom"/>
    </xf>
    <xf borderId="0" fillId="0" fontId="3" numFmtId="0" xfId="0" applyAlignment="1" applyFont="1">
      <alignment horizontal="left" vertical="center"/>
    </xf>
    <xf borderId="2" fillId="0" fontId="4" numFmtId="0" xfId="0" applyAlignment="1" applyBorder="1" applyFont="1">
      <alignment horizontal="center" readingOrder="0" vertical="bottom"/>
    </xf>
    <xf borderId="2" fillId="0" fontId="3" numFmtId="10" xfId="0" applyAlignment="1" applyBorder="1" applyFont="1" applyNumberFormat="1">
      <alignment horizontal="center" readingOrder="0" vertical="bottom"/>
    </xf>
    <xf borderId="0" fillId="0" fontId="3" numFmtId="3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vertical="bottom"/>
    </xf>
    <xf borderId="2" fillId="11" fontId="2" numFmtId="0" xfId="0" applyAlignment="1" applyBorder="1" applyFill="1" applyFont="1">
      <alignment horizontal="center" vertical="bottom"/>
    </xf>
    <xf borderId="2" fillId="11" fontId="1" numFmtId="0" xfId="0" applyAlignment="1" applyBorder="1" applyFill="1" applyFont="1">
      <alignment horizontal="center" readingOrder="0" vertical="bottom"/>
    </xf>
    <xf borderId="3" fillId="12" fontId="14" numFmtId="0" xfId="0" applyAlignment="1" applyBorder="1" applyFill="1" applyFont="1">
      <alignment readingOrder="0"/>
    </xf>
    <xf borderId="2" fillId="12" fontId="1" numFmtId="0" xfId="0" applyAlignment="1" applyBorder="1" applyFill="1" applyFont="1">
      <alignment horizontal="center" readingOrder="0"/>
    </xf>
    <xf borderId="2" fillId="3" fontId="3" numFmtId="0" xfId="0" applyAlignment="1" applyBorder="1" applyFill="1" applyFont="1">
      <alignment horizontal="center" readingOrder="0"/>
    </xf>
    <xf borderId="2" fillId="3" fontId="3" numFmtId="3" xfId="0" applyAlignment="1" applyBorder="1" applyFill="1" applyFont="1" applyNumberFormat="1">
      <alignment horizontal="center" readingOrder="0"/>
    </xf>
    <xf borderId="2" fillId="9" fontId="3" numFmtId="0" xfId="0" applyAlignment="1" applyBorder="1" applyFill="1" applyFont="1">
      <alignment horizontal="center" readingOrder="0"/>
    </xf>
    <xf borderId="1" fillId="11" fontId="1" numFmtId="0" xfId="0" applyAlignment="1" applyBorder="1" applyFill="1" applyFont="1">
      <alignment horizontal="center" readingOrder="0"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/>
    </xf>
    <xf borderId="2" fillId="0" fontId="3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2" fillId="0" fontId="3" numFmtId="3" xfId="0" applyAlignment="1" applyBorder="1" applyFont="1" applyNumberFormat="1">
      <alignment horizontal="center" readingOrder="0" vertical="center"/>
    </xf>
    <xf borderId="3" fillId="7" fontId="1" numFmtId="0" xfId="0" applyAlignment="1" applyBorder="1" applyFill="1" applyFont="1">
      <alignment horizontal="center" readingOrder="0" vertical="center"/>
    </xf>
    <xf borderId="2" fillId="7" fontId="1" numFmtId="3" xfId="0" applyAlignment="1" applyBorder="1" applyFill="1" applyFont="1" applyNumberFormat="1">
      <alignment horizontal="center" vertical="center"/>
    </xf>
    <xf borderId="2" fillId="7" fontId="1" numFmtId="10" xfId="0" applyAlignment="1" applyBorder="1" applyFill="1" applyFont="1" applyNumberFormat="1">
      <alignment horizontal="center" vertical="center"/>
    </xf>
    <xf borderId="3" fillId="7" fontId="14" numFmtId="0" xfId="0" applyAlignment="1" applyBorder="1" applyFill="1" applyFont="1">
      <alignment horizontal="center" readingOrder="0"/>
    </xf>
    <xf borderId="2" fillId="7" fontId="14" numFmtId="3" xfId="0" applyAlignment="1" applyBorder="1" applyFill="1" applyFont="1" applyNumberFormat="1">
      <alignment horizontal="center"/>
    </xf>
    <xf borderId="2" fillId="7" fontId="14" numFmtId="10" xfId="0" applyAlignment="1" applyBorder="1" applyFill="1" applyFont="1" applyNumberFormat="1">
      <alignment horizontal="center"/>
    </xf>
    <xf borderId="2" fillId="7" fontId="14" numFmtId="0" xfId="0" applyAlignment="1" applyBorder="1" applyFill="1" applyFont="1">
      <alignment horizontal="center"/>
    </xf>
    <xf borderId="2" fillId="7" fontId="10" numFmtId="3" xfId="0" applyAlignment="1" applyBorder="1" applyFill="1" applyFont="1" applyNumberFormat="1">
      <alignment horizontal="center"/>
    </xf>
    <xf borderId="2" fillId="7" fontId="10" numFmtId="10" xfId="0" applyAlignment="1" applyBorder="1" applyFill="1" applyFont="1" applyNumberFormat="1">
      <alignment horizontal="center"/>
    </xf>
    <xf borderId="2" fillId="7" fontId="10" numFmtId="0" xfId="0" applyAlignment="1" applyBorder="1" applyFill="1" applyFont="1">
      <alignment horizontal="center"/>
    </xf>
    <xf borderId="2" fillId="7" fontId="3" numFmtId="3" xfId="0" applyAlignment="1" applyBorder="1" applyFill="1" applyFont="1" applyNumberFormat="1">
      <alignment horizontal="center" readingOrder="0" vertical="center"/>
    </xf>
    <xf borderId="2" fillId="0" fontId="10" numFmtId="3" xfId="0" applyAlignment="1" applyBorder="1" applyFont="1" applyNumberFormat="1">
      <alignment horizontal="center" readingOrder="0"/>
    </xf>
    <xf borderId="2" fillId="13" fontId="17" numFmtId="0" xfId="0" applyAlignment="1" applyBorder="1" applyFill="1" applyFont="1">
      <alignment readingOrder="0" shrinkToFit="0" wrapText="0"/>
    </xf>
    <xf borderId="2" fillId="9" fontId="17" numFmtId="0" xfId="0" applyAlignment="1" applyBorder="1" applyFill="1" applyFont="1">
      <alignment readingOrder="0" shrinkToFit="0" wrapText="0"/>
    </xf>
    <xf borderId="2" fillId="14" fontId="1" numFmtId="0" xfId="0" applyAlignment="1" applyBorder="1" applyFill="1" applyFont="1">
      <alignment horizontal="center" shrinkToFit="0" vertical="center" wrapText="1"/>
    </xf>
    <xf borderId="2" fillId="14" fontId="1" numFmtId="0" xfId="0" applyAlignment="1" applyBorder="1" applyFill="1" applyFont="1">
      <alignment horizontal="center" readingOrder="0" shrinkToFit="0" vertical="center" wrapText="1"/>
    </xf>
    <xf borderId="2" fillId="14" fontId="1" numFmtId="0" xfId="0" applyAlignment="1" applyBorder="1" applyFill="1" applyFont="1">
      <alignment horizontal="center" shrinkToFit="0" vertical="center" wrapText="1"/>
    </xf>
    <xf borderId="3" fillId="15" fontId="1" numFmtId="0" xfId="0" applyAlignment="1" applyBorder="1" applyFill="1" applyFont="1">
      <alignment horizontal="center" readingOrder="0" vertical="center"/>
    </xf>
    <xf borderId="2" fillId="15" fontId="1" numFmtId="3" xfId="0" applyAlignment="1" applyBorder="1" applyFill="1" applyFont="1" applyNumberFormat="1">
      <alignment horizontal="center" readingOrder="0" vertical="center"/>
    </xf>
    <xf borderId="2" fillId="15" fontId="1" numFmtId="10" xfId="0" applyAlignment="1" applyBorder="1" applyFill="1" applyFont="1" applyNumberFormat="1">
      <alignment horizontal="center" vertical="center"/>
    </xf>
    <xf borderId="3" fillId="15" fontId="14" numFmtId="0" xfId="0" applyAlignment="1" applyBorder="1" applyFill="1" applyFont="1">
      <alignment horizontal="center" readingOrder="0"/>
    </xf>
    <xf borderId="2" fillId="15" fontId="14" numFmtId="3" xfId="0" applyAlignment="1" applyBorder="1" applyFill="1" applyFont="1" applyNumberFormat="1">
      <alignment horizontal="center"/>
    </xf>
    <xf borderId="2" fillId="15" fontId="14" numFmtId="0" xfId="0" applyAlignment="1" applyBorder="1" applyFill="1" applyFont="1">
      <alignment horizontal="center"/>
    </xf>
    <xf borderId="2" fillId="15" fontId="14" numFmtId="10" xfId="0" applyAlignment="1" applyBorder="1" applyFill="1" applyFont="1" applyNumberFormat="1">
      <alignment horizontal="center"/>
    </xf>
    <xf borderId="2" fillId="0" fontId="18" numFmtId="3" xfId="0" applyAlignment="1" applyBorder="1" applyFont="1" applyNumberFormat="1">
      <alignment horizontal="center" readingOrder="0"/>
    </xf>
    <xf borderId="2" fillId="0" fontId="18" numFmtId="0" xfId="0" applyAlignment="1" applyBorder="1" applyFont="1">
      <alignment horizontal="center"/>
    </xf>
    <xf borderId="2" fillId="9" fontId="19" numFmtId="0" xfId="0" applyAlignment="1" applyBorder="1" applyFill="1" applyFont="1">
      <alignment horizontal="center" readingOrder="0"/>
    </xf>
    <xf borderId="2" fillId="9" fontId="20" numFmtId="0" xfId="0" applyAlignment="1" applyBorder="1" applyFill="1" applyFont="1">
      <alignment horizontal="center" readingOrder="0"/>
    </xf>
    <xf borderId="2" fillId="0" fontId="21" numFmtId="3" xfId="0" applyAlignment="1" applyBorder="1" applyFont="1" applyNumberFormat="1">
      <alignment horizontal="center" readingOrder="0"/>
    </xf>
    <xf borderId="2" fillId="0" fontId="10" numFmtId="3" xfId="0" applyAlignment="1" applyBorder="1" applyFont="1" applyNumberFormat="1">
      <alignment horizontal="center"/>
    </xf>
    <xf borderId="2" fillId="0" fontId="21" numFmtId="3" xfId="0" applyAlignment="1" applyBorder="1" applyFont="1" applyNumberFormat="1">
      <alignment horizontal="center"/>
    </xf>
    <xf borderId="2" fillId="0" fontId="21" numFmtId="10" xfId="0" applyAlignment="1" applyBorder="1" applyFont="1" applyNumberFormat="1">
      <alignment horizontal="center"/>
    </xf>
    <xf borderId="2" fillId="11" fontId="1" numFmtId="3" xfId="0" applyAlignment="1" applyBorder="1" applyFill="1" applyFont="1" applyNumberFormat="1">
      <alignment horizontal="center" readingOrder="0" vertical="center"/>
    </xf>
    <xf borderId="2" fillId="11" fontId="1" numFmtId="3" xfId="0" applyAlignment="1" applyBorder="1" applyFill="1" applyFont="1" applyNumberFormat="1">
      <alignment horizontal="center" vertical="center"/>
    </xf>
    <xf borderId="0" fillId="9" fontId="22" numFmtId="3" xfId="0" applyAlignment="1" applyFill="1" applyFont="1" applyNumberFormat="1">
      <alignment horizontal="center" vertical="center"/>
    </xf>
    <xf borderId="6" fillId="0" fontId="3" numFmtId="0" xfId="0" applyAlignment="1" applyBorder="1" applyFont="1">
      <alignment horizontal="center" readingOrder="0" vertical="center"/>
    </xf>
    <xf borderId="2" fillId="0" fontId="3" numFmtId="167" xfId="0" applyAlignment="1" applyBorder="1" applyFont="1" applyNumberFormat="1">
      <alignment horizontal="center" readingOrder="0" vertical="center"/>
    </xf>
    <xf borderId="7" fillId="0" fontId="8" numFmtId="0" xfId="0" applyBorder="1" applyFont="1"/>
    <xf borderId="8" fillId="16" fontId="1" numFmtId="3" xfId="0" applyAlignment="1" applyBorder="1" applyFill="1" applyFont="1" applyNumberFormat="1">
      <alignment horizontal="center" vertical="center"/>
    </xf>
    <xf borderId="9" fillId="0" fontId="8" numFmtId="0" xfId="0" applyBorder="1" applyFont="1"/>
    <xf borderId="10" fillId="0" fontId="8" numFmtId="0" xfId="0" applyBorder="1" applyFont="1"/>
    <xf borderId="2" fillId="16" fontId="1" numFmtId="3" xfId="0" applyAlignment="1" applyBorder="1" applyFill="1" applyFont="1" applyNumberFormat="1">
      <alignment horizontal="center" vertical="center"/>
    </xf>
    <xf borderId="2" fillId="16" fontId="1" numFmtId="0" xfId="0" applyAlignment="1" applyBorder="1" applyFill="1" applyFont="1">
      <alignment horizontal="center" vertical="center"/>
    </xf>
    <xf borderId="2" fillId="11" fontId="23" numFmtId="3" xfId="0" applyAlignment="1" applyBorder="1" applyFill="1" applyFont="1" applyNumberFormat="1">
      <alignment horizontal="center" readingOrder="0" vertical="center"/>
    </xf>
    <xf borderId="6" fillId="0" fontId="10" numFmtId="0" xfId="0" applyAlignment="1" applyBorder="1" applyFont="1">
      <alignment horizontal="center" readingOrder="0" vertical="center"/>
    </xf>
    <xf borderId="2" fillId="11" fontId="23" numFmtId="3" xfId="0" applyAlignment="1" applyBorder="1" applyFill="1" applyFont="1" applyNumberFormat="1">
      <alignment horizontal="center" vertical="center"/>
    </xf>
    <xf borderId="2" fillId="0" fontId="10" numFmtId="0" xfId="0" applyAlignment="1" applyBorder="1" applyFont="1">
      <alignment readingOrder="0"/>
    </xf>
    <xf borderId="2" fillId="0" fontId="3" numFmtId="167" xfId="0" applyAlignment="1" applyBorder="1" applyFont="1" applyNumberFormat="1">
      <alignment horizontal="center" readingOrder="0"/>
    </xf>
    <xf borderId="2" fillId="0" fontId="24" numFmtId="0" xfId="0" applyAlignment="1" applyBorder="1" applyFont="1">
      <alignment horizontal="center" readingOrder="0"/>
    </xf>
    <xf borderId="2" fillId="11" fontId="23" numFmtId="168" xfId="0" applyAlignment="1" applyBorder="1" applyFill="1" applyFont="1" applyNumberFormat="1">
      <alignment horizontal="center" readingOrder="0" vertical="center"/>
    </xf>
    <xf borderId="2" fillId="9" fontId="25" numFmtId="0" xfId="0" applyAlignment="1" applyBorder="1" applyFill="1" applyFont="1">
      <alignment readingOrder="0"/>
    </xf>
    <xf borderId="1" fillId="0" fontId="8" numFmtId="0" xfId="0" applyBorder="1" applyFont="1"/>
    <xf borderId="2" fillId="16" fontId="10" numFmtId="0" xfId="0" applyBorder="1" applyFill="1" applyFont="1"/>
    <xf borderId="3" fillId="16" fontId="1" numFmtId="3" xfId="0" applyAlignment="1" applyBorder="1" applyFill="1" applyFont="1" applyNumberFormat="1">
      <alignment horizontal="center" vertical="center"/>
    </xf>
    <xf borderId="2" fillId="16" fontId="1" numFmtId="3" xfId="0" applyAlignment="1" applyBorder="1" applyFill="1" applyFont="1" applyNumberFormat="1">
      <alignment horizontal="center" readingOrder="0" vertical="center"/>
    </xf>
    <xf borderId="3" fillId="16" fontId="1" numFmtId="3" xfId="0" applyAlignment="1" applyBorder="1" applyFill="1" applyFont="1" applyNumberFormat="1">
      <alignment horizontal="center" readingOrder="0" vertical="center"/>
    </xf>
    <xf borderId="2" fillId="0" fontId="10" numFmtId="167" xfId="0" applyAlignment="1" applyBorder="1" applyFont="1" applyNumberFormat="1">
      <alignment horizontal="center" readingOrder="0"/>
    </xf>
    <xf borderId="2" fillId="16" fontId="26" numFmtId="169" xfId="0" applyAlignment="1" applyBorder="1" applyFill="1" applyFont="1" applyNumberFormat="1">
      <alignment horizontal="center"/>
    </xf>
    <xf borderId="2" fillId="0" fontId="24" numFmtId="0" xfId="0" applyAlignment="1" applyBorder="1" applyFont="1">
      <alignment readingOrder="0"/>
    </xf>
    <xf borderId="6" fillId="0" fontId="3" numFmtId="167" xfId="0" applyAlignment="1" applyBorder="1" applyFont="1" applyNumberFormat="1">
      <alignment horizontal="center" readingOrder="0" vertical="center"/>
    </xf>
    <xf borderId="6" fillId="0" fontId="3" numFmtId="3" xfId="0" applyAlignment="1" applyBorder="1" applyFont="1" applyNumberFormat="1">
      <alignment horizontal="center" readingOrder="0" vertical="center"/>
    </xf>
    <xf borderId="6" fillId="9" fontId="3" numFmtId="0" xfId="0" applyAlignment="1" applyBorder="1" applyFill="1" applyFont="1">
      <alignment horizontal="center" readingOrder="0" vertical="center"/>
    </xf>
    <xf borderId="3" fillId="16" fontId="14" numFmtId="0" xfId="0" applyAlignment="1" applyBorder="1" applyFill="1" applyFont="1">
      <alignment horizontal="center" readingOrder="0"/>
    </xf>
    <xf borderId="2" fillId="16" fontId="14" numFmtId="0" xfId="0" applyAlignment="1" applyBorder="1" applyFill="1" applyFont="1">
      <alignment horizontal="center" readingOrder="0"/>
    </xf>
    <xf borderId="2" fillId="16" fontId="14" numFmtId="3" xfId="0" applyAlignment="1" applyBorder="1" applyFill="1" applyFont="1" applyNumberFormat="1">
      <alignment horizontal="center"/>
    </xf>
    <xf borderId="2" fillId="16" fontId="14" numFmtId="0" xfId="0" applyAlignment="1" applyBorder="1" applyFill="1" applyFont="1">
      <alignment horizontal="center"/>
    </xf>
    <xf borderId="2" fillId="0" fontId="27" numFmtId="0" xfId="0" applyAlignment="1" applyBorder="1" applyFont="1">
      <alignment readingOrder="0"/>
    </xf>
    <xf borderId="2" fillId="0" fontId="27" numFmtId="167" xfId="0" applyAlignment="1" applyBorder="1" applyFont="1" applyNumberFormat="1">
      <alignment horizontal="center" readingOrder="0"/>
    </xf>
    <xf borderId="2" fillId="0" fontId="27" numFmtId="0" xfId="0" applyAlignment="1" applyBorder="1" applyFont="1">
      <alignment horizontal="center" readingOrder="0"/>
    </xf>
    <xf borderId="2" fillId="0" fontId="27" numFmtId="0" xfId="0" applyAlignment="1" applyBorder="1" applyFont="1">
      <alignment horizontal="center"/>
    </xf>
    <xf borderId="2" fillId="16" fontId="28" numFmtId="169" xfId="0" applyAlignment="1" applyBorder="1" applyFill="1" applyFont="1" applyNumberFormat="1">
      <alignment horizontal="center"/>
    </xf>
    <xf borderId="3" fillId="16" fontId="28" numFmtId="0" xfId="0" applyAlignment="1" applyBorder="1" applyFill="1" applyFont="1">
      <alignment horizontal="center" readingOrder="0"/>
    </xf>
    <xf borderId="2" fillId="16" fontId="28" numFmtId="0" xfId="0" applyAlignment="1" applyBorder="1" applyFill="1" applyFont="1">
      <alignment horizontal="center"/>
    </xf>
    <xf borderId="2" fillId="16" fontId="28" numFmtId="3" xfId="0" applyAlignment="1" applyBorder="1" applyFill="1" applyFont="1" applyNumberFormat="1">
      <alignment horizontal="center"/>
    </xf>
    <xf borderId="0" fillId="0" fontId="10" numFmtId="0" xfId="0" applyAlignment="1" applyFont="1">
      <alignment readingOrder="0"/>
    </xf>
    <xf borderId="2" fillId="17" fontId="21" numFmtId="0" xfId="0" applyAlignment="1" applyBorder="1" applyFill="1" applyFont="1">
      <alignment readingOrder="0"/>
    </xf>
    <xf borderId="2" fillId="16" fontId="14" numFmtId="169" xfId="0" applyAlignment="1" applyBorder="1" applyFill="1" applyFont="1" applyNumberFormat="1">
      <alignment horizontal="center"/>
    </xf>
    <xf borderId="9" fillId="16" fontId="14" numFmtId="0" xfId="0" applyAlignment="1" applyBorder="1" applyFill="1" applyFont="1">
      <alignment horizontal="center" readingOrder="0"/>
    </xf>
    <xf borderId="6" fillId="16" fontId="14" numFmtId="0" xfId="0" applyAlignment="1" applyBorder="1" applyFill="1" applyFont="1">
      <alignment horizontal="center" readingOrder="0"/>
    </xf>
    <xf borderId="6" fillId="16" fontId="14" numFmtId="3" xfId="0" applyAlignment="1" applyBorder="1" applyFill="1" applyFont="1" applyNumberFormat="1">
      <alignment horizontal="center" readingOrder="0"/>
    </xf>
    <xf borderId="6" fillId="16" fontId="14" numFmtId="169" xfId="0" applyAlignment="1" applyBorder="1" applyFill="1" applyFont="1" applyNumberFormat="1">
      <alignment horizontal="center"/>
    </xf>
    <xf borderId="2" fillId="0" fontId="21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center" readingOrder="0" vertical="center"/>
    </xf>
    <xf borderId="2" fillId="0" fontId="10" numFmtId="0" xfId="0" applyBorder="1" applyFont="1"/>
    <xf borderId="2" fillId="9" fontId="10" numFmtId="0" xfId="0" applyAlignment="1" applyBorder="1" applyFill="1" applyFont="1">
      <alignment horizontal="center"/>
    </xf>
    <xf borderId="2" fillId="11" fontId="1" numFmtId="0" xfId="0" applyAlignment="1" applyBorder="1" applyFill="1" applyFont="1">
      <alignment horizontal="center" vertical="center"/>
    </xf>
    <xf borderId="2" fillId="11" fontId="1" numFmtId="4" xfId="0" applyAlignment="1" applyBorder="1" applyFill="1" applyFont="1" applyNumberFormat="1">
      <alignment horizontal="center" vertical="center"/>
    </xf>
    <xf borderId="2" fillId="11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2" fillId="3" fontId="26" numFmtId="0" xfId="0" applyAlignment="1" applyBorder="1" applyFill="1" applyFont="1">
      <alignment horizontal="center" vertical="center"/>
    </xf>
    <xf borderId="2" fillId="0" fontId="29" numFmtId="0" xfId="0" applyAlignment="1" applyBorder="1" applyFont="1">
      <alignment horizontal="left" readingOrder="0" vertical="center"/>
    </xf>
    <xf borderId="2" fillId="0" fontId="3" numFmtId="170" xfId="0" applyAlignment="1" applyBorder="1" applyFont="1" applyNumberFormat="1">
      <alignment horizontal="center" readingOrder="0" vertical="center"/>
    </xf>
    <xf borderId="2" fillId="9" fontId="30" numFmtId="0" xfId="0" applyAlignment="1" applyBorder="1" applyFill="1" applyFont="1">
      <alignment horizontal="center" readingOrder="0" vertical="center"/>
    </xf>
    <xf borderId="2" fillId="0" fontId="3" numFmtId="169" xfId="0" applyAlignment="1" applyBorder="1" applyFont="1" applyNumberFormat="1">
      <alignment horizontal="center" readingOrder="0" vertical="center"/>
    </xf>
    <xf borderId="2" fillId="9" fontId="10" numFmtId="3" xfId="0" applyAlignment="1" applyBorder="1" applyFill="1" applyFont="1" applyNumberFormat="1">
      <alignment horizontal="center" readingOrder="0"/>
    </xf>
    <xf borderId="0" fillId="9" fontId="15" numFmtId="0" xfId="0" applyAlignment="1" applyFill="1" applyFont="1">
      <alignment horizontal="center" readingOrder="0"/>
    </xf>
    <xf borderId="2" fillId="0" fontId="3" numFmtId="169" xfId="0" applyAlignment="1" applyBorder="1" applyFont="1" applyNumberFormat="1">
      <alignment horizontal="center"/>
    </xf>
    <xf borderId="2" fillId="0" fontId="31" numFmtId="169" xfId="0" applyAlignment="1" applyBorder="1" applyFont="1" applyNumberFormat="1">
      <alignment horizontal="center"/>
    </xf>
    <xf borderId="2" fillId="16" fontId="14" numFmtId="169" xfId="0" applyAlignment="1" applyBorder="1" applyFill="1" applyFont="1" applyNumberFormat="1">
      <alignment horizontal="center"/>
    </xf>
    <xf borderId="0" fillId="0" fontId="31" numFmtId="0" xfId="0" applyAlignment="1" applyFont="1">
      <alignment readingOrder="0" vertical="bottom"/>
    </xf>
    <xf borderId="2" fillId="0" fontId="10" numFmtId="169" xfId="0" applyAlignment="1" applyBorder="1" applyFont="1" applyNumberFormat="1">
      <alignment horizontal="center"/>
    </xf>
    <xf borderId="0" fillId="0" fontId="31" numFmtId="0" xfId="0" applyAlignment="1" applyFont="1">
      <alignment horizontal="center" readingOrder="0" vertical="bottom"/>
    </xf>
    <xf borderId="2" fillId="0" fontId="29" numFmtId="0" xfId="0" applyAlignment="1" applyBorder="1" applyFont="1">
      <alignment horizontal="center" readingOrder="0" vertical="center"/>
    </xf>
    <xf borderId="2" fillId="3" fontId="10" numFmtId="0" xfId="0" applyAlignment="1" applyBorder="1" applyFill="1" applyFont="1">
      <alignment horizontal="center"/>
    </xf>
    <xf borderId="3" fillId="16" fontId="1" numFmtId="0" xfId="0" applyAlignment="1" applyBorder="1" applyFill="1" applyFont="1">
      <alignment horizontal="center" readingOrder="0" vertical="center"/>
    </xf>
    <xf borderId="2" fillId="3" fontId="10" numFmtId="0" xfId="0" applyAlignment="1" applyBorder="1" applyFill="1" applyFont="1">
      <alignment horizontal="center" readingOrder="0"/>
    </xf>
    <xf borderId="2" fillId="3" fontId="10" numFmtId="3" xfId="0" applyAlignment="1" applyBorder="1" applyFill="1" applyFont="1" applyNumberFormat="1">
      <alignment horizontal="center" readingOrder="0"/>
    </xf>
    <xf borderId="2" fillId="16" fontId="1" numFmtId="169" xfId="0" applyAlignment="1" applyBorder="1" applyFill="1" applyFont="1" applyNumberFormat="1">
      <alignment horizontal="center" vertical="center"/>
    </xf>
    <xf borderId="2" fillId="16" fontId="1" numFmtId="10" xfId="0" applyAlignment="1" applyBorder="1" applyFill="1" applyFont="1" applyNumberFormat="1">
      <alignment horizontal="center" vertical="center"/>
    </xf>
    <xf borderId="2" fillId="3" fontId="1" numFmtId="169" xfId="0" applyAlignment="1" applyBorder="1" applyFill="1" applyFont="1" applyNumberFormat="1">
      <alignment horizontal="center" vertical="center"/>
    </xf>
    <xf borderId="2" fillId="3" fontId="14" numFmtId="169" xfId="0" applyAlignment="1" applyBorder="1" applyFill="1" applyFont="1" applyNumberFormat="1">
      <alignment horizontal="center" vertical="center"/>
    </xf>
    <xf borderId="2" fillId="0" fontId="3" numFmtId="170" xfId="0" applyAlignment="1" applyBorder="1" applyFont="1" applyNumberFormat="1">
      <alignment horizontal="center" readingOrder="0"/>
    </xf>
    <xf borderId="2" fillId="9" fontId="24" numFmtId="0" xfId="0" applyAlignment="1" applyBorder="1" applyFill="1" applyFont="1">
      <alignment horizontal="center"/>
    </xf>
    <xf borderId="2" fillId="0" fontId="3" numFmtId="169" xfId="0" applyAlignment="1" applyBorder="1" applyFont="1" applyNumberFormat="1">
      <alignment horizontal="center" readingOrder="0"/>
    </xf>
    <xf borderId="2" fillId="16" fontId="14" numFmtId="169" xfId="0" applyAlignment="1" applyBorder="1" applyFill="1" applyFont="1" applyNumberFormat="1">
      <alignment horizontal="center" vertical="center"/>
    </xf>
    <xf borderId="2" fillId="16" fontId="14" numFmtId="0" xfId="0" applyAlignment="1" applyBorder="1" applyFill="1" applyFont="1">
      <alignment horizontal="center" vertical="center"/>
    </xf>
    <xf borderId="2" fillId="16" fontId="14" numFmtId="3" xfId="0" applyAlignment="1" applyBorder="1" applyFill="1" applyFont="1" applyNumberFormat="1">
      <alignment horizontal="center" vertical="center"/>
    </xf>
    <xf borderId="2" fillId="16" fontId="14" numFmtId="10" xfId="0" applyAlignment="1" applyBorder="1" applyFill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3" fillId="16" fontId="1" numFmtId="0" xfId="0" applyAlignment="1" applyBorder="1" applyFill="1" applyFont="1">
      <alignment horizontal="center" readingOrder="0"/>
    </xf>
    <xf borderId="2" fillId="16" fontId="1" numFmtId="169" xfId="0" applyAlignment="1" applyBorder="1" applyFill="1" applyFont="1" applyNumberFormat="1">
      <alignment horizontal="center"/>
    </xf>
    <xf borderId="2" fillId="16" fontId="1" numFmtId="3" xfId="0" applyAlignment="1" applyBorder="1" applyFill="1" applyFont="1" applyNumberFormat="1">
      <alignment horizontal="center"/>
    </xf>
    <xf borderId="2" fillId="16" fontId="1" numFmtId="10" xfId="0" applyAlignment="1" applyBorder="1" applyFill="1" applyFont="1" applyNumberFormat="1">
      <alignment horizontal="center"/>
    </xf>
    <xf borderId="2" fillId="3" fontId="1" numFmtId="169" xfId="0" applyAlignment="1" applyBorder="1" applyFill="1" applyFont="1" applyNumberFormat="1">
      <alignment horizontal="center"/>
    </xf>
    <xf borderId="2" fillId="3" fontId="26" numFmtId="169" xfId="0" applyAlignment="1" applyBorder="1" applyFill="1" applyFont="1" applyNumberFormat="1">
      <alignment horizontal="center"/>
    </xf>
    <xf borderId="2" fillId="0" fontId="10" numFmtId="170" xfId="0" applyAlignment="1" applyBorder="1" applyFont="1" applyNumberFormat="1">
      <alignment horizontal="center" readingOrder="0"/>
    </xf>
    <xf borderId="2" fillId="0" fontId="10" numFmtId="169" xfId="0" applyAlignment="1" applyBorder="1" applyFont="1" applyNumberFormat="1">
      <alignment horizontal="center" readingOrder="0"/>
    </xf>
    <xf borderId="2" fillId="0" fontId="10" numFmtId="169" xfId="0" applyAlignment="1" applyBorder="1" applyFont="1" applyNumberFormat="1">
      <alignment horizontal="center"/>
    </xf>
    <xf borderId="2" fillId="18" fontId="32" numFmtId="3" xfId="0" applyAlignment="1" applyBorder="1" applyFill="1" applyFont="1" applyNumberFormat="1">
      <alignment horizontal="center" readingOrder="0"/>
    </xf>
    <xf borderId="2" fillId="19" fontId="33" numFmtId="3" xfId="0" applyAlignment="1" applyBorder="1" applyFill="1" applyFont="1" applyNumberFormat="1">
      <alignment horizontal="center" readingOrder="0"/>
    </xf>
    <xf borderId="2" fillId="9" fontId="33" numFmtId="3" xfId="0" applyAlignment="1" applyBorder="1" applyFill="1" applyFont="1" applyNumberFormat="1">
      <alignment horizontal="center" readingOrder="0"/>
    </xf>
    <xf borderId="2" fillId="16" fontId="14" numFmtId="10" xfId="0" applyAlignment="1" applyBorder="1" applyFill="1" applyFont="1" applyNumberFormat="1">
      <alignment horizontal="center"/>
    </xf>
    <xf borderId="0" fillId="16" fontId="31" numFmtId="0" xfId="0" applyAlignment="1" applyFill="1" applyFont="1">
      <alignment horizontal="center" readingOrder="0"/>
    </xf>
    <xf borderId="0" fillId="0" fontId="31" numFmtId="0" xfId="0" applyAlignment="1" applyFont="1">
      <alignment horizontal="left" readingOrder="0"/>
    </xf>
    <xf borderId="0" fillId="0" fontId="31" numFmtId="0" xfId="0" applyAlignment="1" applyFont="1">
      <alignment horizontal="center" readingOrder="0"/>
    </xf>
    <xf borderId="0" fillId="16" fontId="31" numFmtId="0" xfId="0" applyAlignment="1" applyFill="1" applyFont="1">
      <alignment horizontal="left" readingOrder="0"/>
    </xf>
    <xf borderId="2" fillId="0" fontId="31" numFmtId="0" xfId="0" applyAlignment="1" applyBorder="1" applyFont="1">
      <alignment horizontal="center" readingOrder="0"/>
    </xf>
    <xf borderId="0" fillId="0" fontId="10" numFmtId="3" xfId="0" applyAlignment="1" applyFont="1" applyNumberFormat="1">
      <alignment readingOrder="0"/>
    </xf>
    <xf borderId="2" fillId="0" fontId="31" numFmtId="3" xfId="0" applyAlignment="1" applyBorder="1" applyFont="1" applyNumberFormat="1">
      <alignment horizontal="center" readingOrder="0"/>
    </xf>
    <xf borderId="2" fillId="16" fontId="14" numFmtId="169" xfId="0" applyAlignment="1" applyBorder="1" applyFill="1" applyFont="1" applyNumberFormat="1">
      <alignment horizontal="center" readingOrder="0"/>
    </xf>
    <xf borderId="2" fillId="16" fontId="14" numFmtId="3" xfId="0" applyAlignment="1" applyBorder="1" applyFill="1" applyFont="1" applyNumberFormat="1">
      <alignment horizontal="center" readingOrder="0"/>
    </xf>
    <xf borderId="2" fillId="0" fontId="34" numFmtId="10" xfId="0" applyAlignment="1" applyBorder="1" applyFont="1" applyNumberFormat="1">
      <alignment horizontal="center" readingOrder="0" shrinkToFit="0" wrapText="0"/>
    </xf>
    <xf borderId="2" fillId="16" fontId="31" numFmtId="0" xfId="0" applyAlignment="1" applyBorder="1" applyFill="1" applyFont="1">
      <alignment horizontal="center" readingOrder="0"/>
    </xf>
    <xf borderId="2" fillId="16" fontId="31" numFmtId="0" xfId="0" applyAlignment="1" applyBorder="1" applyFill="1" applyFont="1">
      <alignment horizontal="center"/>
    </xf>
    <xf borderId="2" fillId="0" fontId="31" numFmtId="10" xfId="0" applyAlignment="1" applyBorder="1" applyFont="1" applyNumberFormat="1">
      <alignment horizontal="center" readingOrder="0"/>
    </xf>
    <xf borderId="2" fillId="16" fontId="10" numFmtId="169" xfId="0" applyAlignment="1" applyBorder="1" applyFill="1" applyFont="1" applyNumberFormat="1">
      <alignment horizontal="center"/>
    </xf>
    <xf borderId="2" fillId="16" fontId="10" numFmtId="3" xfId="0" applyAlignment="1" applyBorder="1" applyFill="1" applyFont="1" applyNumberFormat="1">
      <alignment horizontal="center"/>
    </xf>
    <xf borderId="2" fillId="16" fontId="10" numFmtId="0" xfId="0" applyAlignment="1" applyBorder="1" applyFill="1" applyFont="1">
      <alignment horizontal="center"/>
    </xf>
    <xf borderId="2" fillId="16" fontId="34" numFmtId="10" xfId="0" applyAlignment="1" applyBorder="1" applyFill="1" applyFont="1" applyNumberFormat="1">
      <alignment horizontal="center" readingOrder="0" shrinkToFit="0" wrapText="0"/>
    </xf>
    <xf borderId="2" fillId="16" fontId="14" numFmtId="10" xfId="0" applyAlignment="1" applyBorder="1" applyFill="1" applyFont="1" applyNumberFormat="1">
      <alignment horizontal="center" readingOrder="0"/>
    </xf>
    <xf borderId="2" fillId="0" fontId="35" numFmtId="0" xfId="0" applyAlignment="1" applyBorder="1" applyFont="1">
      <alignment horizontal="center" readingOrder="0" shrinkToFit="0" vertical="bottom" wrapText="0"/>
    </xf>
    <xf borderId="0" fillId="16" fontId="14" numFmtId="169" xfId="0" applyAlignment="1" applyFill="1" applyFont="1" applyNumberFormat="1">
      <alignment horizontal="center"/>
    </xf>
    <xf borderId="0" fillId="16" fontId="14" numFmtId="3" xfId="0" applyAlignment="1" applyFill="1" applyFont="1" applyNumberFormat="1">
      <alignment horizontal="center"/>
    </xf>
    <xf borderId="0" fillId="16" fontId="14" numFmtId="0" xfId="0" applyAlignment="1" applyFill="1" applyFont="1">
      <alignment horizontal="center"/>
    </xf>
    <xf borderId="2" fillId="16" fontId="36" numFmtId="10" xfId="0" applyAlignment="1" applyBorder="1" applyFill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CPE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'Dou+'!$L$1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'Dou+'!$L$2:$L$918</c:f>
              <c:numCache/>
            </c:numRef>
          </c:val>
          <c:smooth val="0"/>
        </c:ser>
        <c:axId val="1134561935"/>
        <c:axId val="1025114414"/>
      </c:lineChart>
      <c:catAx>
        <c:axId val="1134561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114414"/>
      </c:catAx>
      <c:valAx>
        <c:axId val="1025114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5619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Aug Organic Engagements</a:t>
            </a:r>
          </a:p>
        </c:rich>
      </c:tx>
      <c:layout>
        <c:manualLayout>
          <c:xMode val="edge"/>
          <c:yMode val="edge"/>
          <c:x val="0.03212045169385195"/>
          <c:y val="0.05"/>
        </c:manualLayout>
      </c:layout>
      <c:overlay val="0"/>
    </c:title>
    <c:plotArea>
      <c:layout/>
      <c:barChart>
        <c:barDir val="bar"/>
        <c:ser>
          <c:idx val="0"/>
          <c:order val="0"/>
          <c:tx>
            <c:strRef>
              <c:f>'Organnic Engagement'!$B$1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'Organnic Engagement'!$A$2:$A$11</c:f>
            </c:strRef>
          </c:cat>
          <c:val>
            <c:numRef>
              <c:f>'Organnic Engagement'!$B$2:$B$11</c:f>
              <c:numCache/>
            </c:numRef>
          </c:val>
        </c:ser>
        <c:axId val="300543423"/>
        <c:axId val="683933061"/>
      </c:barChart>
      <c:catAx>
        <c:axId val="3005434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3933061"/>
      </c:catAx>
      <c:valAx>
        <c:axId val="6839330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Organic Engagements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05434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Aug Mention Post Number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'Organnic Engagement'!$J$1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'Organnic Engagement'!$I$2:$I$11</c:f>
            </c:strRef>
          </c:cat>
          <c:val>
            <c:numRef>
              <c:f>'Organnic Engagement'!$J$2:$J$11</c:f>
              <c:numCache/>
            </c:numRef>
          </c:val>
        </c:ser>
        <c:axId val="1760880134"/>
        <c:axId val="1778743923"/>
      </c:barChart>
      <c:catAx>
        <c:axId val="17608801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743923"/>
      </c:catAx>
      <c:valAx>
        <c:axId val="17787439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Mention Post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08801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'Competitor Analysis (post numbe'!$B$1</c:f>
            </c:strRef>
          </c:tx>
          <c:spPr>
            <a:solidFill>
              <a:srgbClr val="073763"/>
            </a:solidFill>
            <a:ln cmpd="sng">
              <a:noFill/>
            </a:ln>
          </c:spPr>
          <c:dPt>
            <c:idx val="2"/>
          </c:dPt>
          <c:dPt>
            <c:idx val="4"/>
          </c:dPt>
          <c:dPt>
            <c:idx val="8"/>
          </c:dPt>
          <c:dPt>
            <c:idx val="9"/>
          </c:dPt>
          <c:dPt>
            <c:idx val="10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'Competitor Analysis (post numbe'!$A$2:$A$11</c:f>
            </c:strRef>
          </c:cat>
          <c:val>
            <c:numRef>
              <c:f>'Competitor Analysis (post numbe'!$B$2:$B$11</c:f>
              <c:numCache/>
            </c:numRef>
          </c:val>
        </c:ser>
        <c:ser>
          <c:idx val="1"/>
          <c:order val="1"/>
          <c:tx>
            <c:strRef>
              <c:f>'Competitor Analysis (post numbe'!$C$1</c:f>
            </c:strRef>
          </c:tx>
          <c:spPr>
            <a:solidFill>
              <a:srgbClr val="E2007E"/>
            </a:solidFill>
            <a:ln cmpd="sng">
              <a:noFill/>
            </a:ln>
          </c:spPr>
          <c:dPt>
            <c:idx val="2"/>
          </c:dPt>
          <c:dPt>
            <c:idx val="3"/>
          </c:dPt>
          <c:dLbls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0" i="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'Competitor Analysis (post numbe'!$A$2:$A$11</c:f>
            </c:strRef>
          </c:cat>
          <c:val>
            <c:numRef>
              <c:f>'Competitor Analysis (post numbe'!$C$2:$C$11</c:f>
              <c:numCache/>
            </c:numRef>
          </c:val>
        </c:ser>
        <c:axId val="2060015333"/>
        <c:axId val="643519783"/>
      </c:barChart>
      <c:catAx>
        <c:axId val="2060015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3519783"/>
      </c:catAx>
      <c:valAx>
        <c:axId val="643519783"/>
        <c:scaling>
          <c:orientation val="minMax"/>
          <c:max val="2000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015333"/>
      </c:valAx>
      <c:lineChart>
        <c:varyColors val="0"/>
        <c:ser>
          <c:idx val="2"/>
          <c:order val="2"/>
          <c:tx>
            <c:strRef>
              <c:f>'Competitor Analysis (post numbe'!$D$1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'Competitor Analysis (post numbe'!$A$2:$A$11</c:f>
            </c:strRef>
          </c:cat>
          <c:val>
            <c:numRef>
              <c:f>'Competitor Analysis (post numbe'!$D$2:$D$11</c:f>
              <c:numCache/>
            </c:numRef>
          </c:val>
          <c:smooth val="0"/>
        </c:ser>
        <c:axId val="1445437160"/>
        <c:axId val="363368623"/>
      </c:lineChart>
      <c:catAx>
        <c:axId val="14454371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368623"/>
      </c:catAx>
      <c:valAx>
        <c:axId val="363368623"/>
        <c:scaling>
          <c:orientation val="minMax"/>
          <c:max val="0.2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4371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Fans Number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'Fans number'!$F$1</c:f>
            </c:strRef>
          </c:tx>
          <c:spPr>
            <a:solidFill>
              <a:srgbClr val="E2007E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'Fans number'!$E$2:$E$13</c:f>
            </c:strRef>
          </c:cat>
          <c:val>
            <c:numRef>
              <c:f>'Fans number'!$F$2:$F$13</c:f>
              <c:numCache/>
            </c:numRef>
          </c:val>
        </c:ser>
        <c:axId val="2107985058"/>
        <c:axId val="1598446700"/>
      </c:barChart>
      <c:catAx>
        <c:axId val="21079850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446700"/>
      </c:catAx>
      <c:valAx>
        <c:axId val="15984467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Fans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79850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Fans Growth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'Fans number'!$L$1</c:f>
            </c:strRef>
          </c:tx>
          <c:spPr>
            <a:solidFill>
              <a:srgbClr val="E2007E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'Fans number'!$K$2:$K$13</c:f>
            </c:strRef>
          </c:cat>
          <c:val>
            <c:numRef>
              <c:f>'Fans number'!$L$2:$L$13</c:f>
              <c:numCache/>
            </c:numRef>
          </c:val>
        </c:ser>
        <c:axId val="55020728"/>
        <c:axId val="593860549"/>
      </c:barChart>
      <c:catAx>
        <c:axId val="550207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860549"/>
      </c:catAx>
      <c:valAx>
        <c:axId val="5938605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Fans Growth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02072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57150</xdr:colOff>
      <xdr:row>3</xdr:row>
      <xdr:rowOff>66675</xdr:rowOff>
    </xdr:from>
    <xdr:ext cx="5715000" cy="3533775"/>
    <xdr:graphicFrame>
      <xdr:nvGraphicFramePr>
        <xdr:cNvPr id="1" name="Chart 1" title="图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13</xdr:row>
      <xdr:rowOff>161925</xdr:rowOff>
    </xdr:from>
    <xdr:ext cx="7591425" cy="46863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19050</xdr:colOff>
      <xdr:row>14</xdr:row>
      <xdr:rowOff>19050</xdr:rowOff>
    </xdr:from>
    <xdr:ext cx="7591425" cy="4686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13</xdr:row>
      <xdr:rowOff>28575</xdr:rowOff>
    </xdr:from>
    <xdr:ext cx="12544425" cy="56197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552450</xdr:colOff>
      <xdr:row>14</xdr:row>
      <xdr:rowOff>38100</xdr:rowOff>
    </xdr:from>
    <xdr:ext cx="7591425" cy="46863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771525</xdr:colOff>
      <xdr:row>14</xdr:row>
      <xdr:rowOff>38100</xdr:rowOff>
    </xdr:from>
    <xdr:ext cx="7591425" cy="46863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mp.weixin.qq.com/s/daZVmDCh5hk5YzgxLcnBfg" TargetMode="External"/><Relationship Id="rId11" Type="http://schemas.openxmlformats.org/officeDocument/2006/relationships/hyperlink" Target="https://mp.weixin.qq.com/s/47APJsR4RQkptn1fIrOt5A" TargetMode="External"/><Relationship Id="rId22" Type="http://schemas.openxmlformats.org/officeDocument/2006/relationships/hyperlink" Target="https://mp.weixin.qq.com/s/Zq-Ti1-4rtKF0D9Gqf4OHw" TargetMode="External"/><Relationship Id="rId10" Type="http://schemas.openxmlformats.org/officeDocument/2006/relationships/hyperlink" Target="https://mp.weixin.qq.com/s/QqPMY2NEDw8bl84WrXUXTw" TargetMode="External"/><Relationship Id="rId21" Type="http://schemas.openxmlformats.org/officeDocument/2006/relationships/hyperlink" Target="https://mp.weixin.qq.com/s/man_BNYSyeFZMcfT1mgf0A" TargetMode="External"/><Relationship Id="rId13" Type="http://schemas.openxmlformats.org/officeDocument/2006/relationships/hyperlink" Target="https://mp.weixin.qq.com/s/IRL-8UKOZliH40b0bW9-0A" TargetMode="External"/><Relationship Id="rId12" Type="http://schemas.openxmlformats.org/officeDocument/2006/relationships/hyperlink" Target="https://mp.weixin.qq.com/s/D8Ec5dS-9k4xTkG126r2KA" TargetMode="External"/><Relationship Id="rId23" Type="http://schemas.openxmlformats.org/officeDocument/2006/relationships/drawing" Target="../drawings/drawing4.xml"/><Relationship Id="rId1" Type="http://schemas.openxmlformats.org/officeDocument/2006/relationships/hyperlink" Target="https://mp.weixin.qq.com/s/yXvv8Od1-VD495Nlz29Pew" TargetMode="External"/><Relationship Id="rId2" Type="http://schemas.openxmlformats.org/officeDocument/2006/relationships/hyperlink" Target="https://mp.weixin.qq.com/s/6F49eqJEfAMDOvOGJbdpmQ" TargetMode="External"/><Relationship Id="rId3" Type="http://schemas.openxmlformats.org/officeDocument/2006/relationships/hyperlink" Target="https://mp.weixin.qq.com/s/_LMrdOHvHUoE8AWUIf7t1Q" TargetMode="External"/><Relationship Id="rId4" Type="http://schemas.openxmlformats.org/officeDocument/2006/relationships/hyperlink" Target="https://mp.weixin.qq.com/s/skpHn7jg4sqwADYZGjXIaQ" TargetMode="External"/><Relationship Id="rId9" Type="http://schemas.openxmlformats.org/officeDocument/2006/relationships/hyperlink" Target="https://mp.weixin.qq.com/s/r_QSNNC2Ci11qEzHyJBPqg" TargetMode="External"/><Relationship Id="rId15" Type="http://schemas.openxmlformats.org/officeDocument/2006/relationships/hyperlink" Target="https://mp.weixin.qq.com/s/mEFvXSup8eeLw1H1xG9GVw" TargetMode="External"/><Relationship Id="rId14" Type="http://schemas.openxmlformats.org/officeDocument/2006/relationships/hyperlink" Target="https://mp.weixin.qq.com/s/ZPr28sWh4LmXP4glvFhrBA" TargetMode="External"/><Relationship Id="rId17" Type="http://schemas.openxmlformats.org/officeDocument/2006/relationships/hyperlink" Target="https://mp.weixin.qq.com/s/F_A6yBWol_3ISb8A82H4kw" TargetMode="External"/><Relationship Id="rId16" Type="http://schemas.openxmlformats.org/officeDocument/2006/relationships/hyperlink" Target="https://mp.weixin.qq.com/s/NDYPB5_SqYR-BWWRLSutwQ" TargetMode="External"/><Relationship Id="rId5" Type="http://schemas.openxmlformats.org/officeDocument/2006/relationships/hyperlink" Target="https://mp.weixin.qq.com/s/7dAUGTyJg-yaSS05FbjWAA" TargetMode="External"/><Relationship Id="rId19" Type="http://schemas.openxmlformats.org/officeDocument/2006/relationships/hyperlink" Target="https://mp.weixin.qq.com/s/t1dRI5bEoXlh1ofaFfk1Ew" TargetMode="External"/><Relationship Id="rId6" Type="http://schemas.openxmlformats.org/officeDocument/2006/relationships/hyperlink" Target="https://mp.weixin.qq.com/s/TYJpJBssj4jS3pSPk71wlg" TargetMode="External"/><Relationship Id="rId18" Type="http://schemas.openxmlformats.org/officeDocument/2006/relationships/hyperlink" Target="https://mp.weixin.qq.com/s/Tulj25LCjHK1gbU-Ze0l9g" TargetMode="External"/><Relationship Id="rId7" Type="http://schemas.openxmlformats.org/officeDocument/2006/relationships/hyperlink" Target="https://mp.weixin.qq.com/s/3NsXkgb5d2an-QjIqy9tCA" TargetMode="External"/><Relationship Id="rId8" Type="http://schemas.openxmlformats.org/officeDocument/2006/relationships/hyperlink" Target="https://mp.weixin.qq.com/s/jRT6IHTuaMUiBNPkNdmFww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9.25"/>
    <col customWidth="1" min="4" max="4" width="14.25"/>
  </cols>
  <sheetData>
    <row r="1">
      <c r="A1" s="2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 ht="21.75" customHeight="1">
      <c r="A3" s="13" t="s">
        <v>18</v>
      </c>
      <c r="B3" s="15"/>
      <c r="C3" s="15"/>
      <c r="D3" s="1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>
      <c r="A4" s="21" t="s">
        <v>20</v>
      </c>
      <c r="B4" s="21" t="s">
        <v>21</v>
      </c>
      <c r="C4" s="21" t="s">
        <v>22</v>
      </c>
      <c r="D4" s="21" t="s">
        <v>23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>
      <c r="A5" s="25" t="s">
        <v>32</v>
      </c>
      <c r="B5" s="15"/>
      <c r="C5" s="15"/>
      <c r="D5" s="1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>
      <c r="A6" s="21" t="s">
        <v>35</v>
      </c>
      <c r="B6" s="28">
        <f>N26</f>
        <v>5554</v>
      </c>
      <c r="C6" s="29">
        <v>6000.0</v>
      </c>
      <c r="D6" s="31">
        <f t="shared" ref="D6:D8" si="1">B6/C6</f>
        <v>0.9256666667</v>
      </c>
      <c r="E6" s="32"/>
      <c r="F6" s="32"/>
      <c r="G6" s="32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>
      <c r="A7" s="21" t="s">
        <v>11</v>
      </c>
      <c r="B7" s="31">
        <f>I30</f>
        <v>0.1232</v>
      </c>
      <c r="C7" s="38">
        <v>0.15</v>
      </c>
      <c r="D7" s="31">
        <f t="shared" si="1"/>
        <v>0.8213333333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>
      <c r="A8" s="21" t="s">
        <v>41</v>
      </c>
      <c r="B8" s="40">
        <v>421.0</v>
      </c>
      <c r="C8" s="40">
        <v>500.0</v>
      </c>
      <c r="D8" s="31">
        <f t="shared" si="1"/>
        <v>0.842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>
      <c r="A9" s="41" t="s">
        <v>44</v>
      </c>
      <c r="B9" s="15"/>
      <c r="C9" s="15"/>
      <c r="D9" s="1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>
      <c r="A10" s="22" t="s">
        <v>47</v>
      </c>
      <c r="B10" s="42">
        <v>929382.0</v>
      </c>
      <c r="C10" s="42">
        <v>1800000.0</v>
      </c>
      <c r="D10" s="43">
        <f t="shared" ref="D10:D11" si="2">B10/C10</f>
        <v>0.5163233333</v>
      </c>
      <c r="E10" s="3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>
      <c r="A11" s="22" t="s">
        <v>51</v>
      </c>
      <c r="B11" s="42">
        <v>5767.0</v>
      </c>
      <c r="C11" s="42">
        <v>4200.0</v>
      </c>
      <c r="D11" s="43">
        <f t="shared" si="2"/>
        <v>1.373095238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>
      <c r="A12" s="45" t="s">
        <v>55</v>
      </c>
      <c r="B12" s="15"/>
      <c r="C12" s="15"/>
      <c r="D12" s="1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>
      <c r="A13" s="46" t="s">
        <v>47</v>
      </c>
      <c r="B13" s="47">
        <f>N37</f>
        <v>9089</v>
      </c>
      <c r="C13" s="48">
        <v>15000.0</v>
      </c>
      <c r="D13" s="49">
        <f t="shared" ref="D13:D14" si="3">B13/C13</f>
        <v>0.6059333333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>
      <c r="A14" s="46" t="s">
        <v>61</v>
      </c>
      <c r="B14" s="47">
        <f>I37</f>
        <v>1041</v>
      </c>
      <c r="C14" s="48">
        <v>1250.0</v>
      </c>
      <c r="D14" s="49">
        <f t="shared" si="3"/>
        <v>0.8328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>
      <c r="A15" s="52" t="s">
        <v>62</v>
      </c>
      <c r="B15" s="15"/>
      <c r="C15" s="15"/>
      <c r="D15" s="1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>
      <c r="A16" s="55" t="s">
        <v>61</v>
      </c>
      <c r="B16" s="57">
        <f>I55</f>
        <v>11839</v>
      </c>
      <c r="C16" s="58">
        <v>5000.0</v>
      </c>
      <c r="D16" s="59">
        <f t="shared" ref="D16:D17" si="4">B16/C16</f>
        <v>2.3678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>
      <c r="A17" s="55" t="s">
        <v>71</v>
      </c>
      <c r="B17" s="57">
        <f>N55</f>
        <v>71535</v>
      </c>
      <c r="C17" s="58">
        <v>60000.0</v>
      </c>
      <c r="D17" s="61">
        <f t="shared" si="4"/>
        <v>1.19225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>
      <c r="A18" s="63" t="s">
        <v>75</v>
      </c>
      <c r="B18" s="15"/>
      <c r="C18" s="15"/>
      <c r="D18" s="1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>
      <c r="A19" s="65" t="s">
        <v>35</v>
      </c>
      <c r="B19" s="66">
        <f>N44</f>
        <v>1121</v>
      </c>
      <c r="C19" s="67">
        <v>1500.0</v>
      </c>
      <c r="D19" s="73">
        <f t="shared" ref="D19:D20" si="5">B19/C19</f>
        <v>0.7473333333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>
      <c r="A20" s="65" t="s">
        <v>61</v>
      </c>
      <c r="B20" s="66">
        <f>I46</f>
        <v>20080</v>
      </c>
      <c r="C20" s="67">
        <v>6000.0</v>
      </c>
      <c r="D20" s="73">
        <f t="shared" si="5"/>
        <v>3.346666667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>
      <c r="A21" s="8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>
      <c r="A22" s="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>
      <c r="A23" s="80" t="s">
        <v>32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>
      <c r="A24" s="82" t="s">
        <v>90</v>
      </c>
      <c r="B24" s="83" t="s">
        <v>91</v>
      </c>
      <c r="C24" s="85" t="s">
        <v>92</v>
      </c>
      <c r="D24" s="85" t="s">
        <v>94</v>
      </c>
      <c r="E24" s="85" t="s">
        <v>95</v>
      </c>
      <c r="F24" s="85" t="s">
        <v>96</v>
      </c>
      <c r="G24" s="85" t="s">
        <v>98</v>
      </c>
      <c r="H24" s="85" t="s">
        <v>99</v>
      </c>
      <c r="I24" s="85" t="s">
        <v>100</v>
      </c>
      <c r="J24" s="85" t="s">
        <v>101</v>
      </c>
      <c r="K24" s="85" t="s">
        <v>102</v>
      </c>
      <c r="L24" s="85" t="s">
        <v>103</v>
      </c>
      <c r="M24" s="85" t="s">
        <v>104</v>
      </c>
      <c r="N24" s="85" t="s">
        <v>105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>
      <c r="A25" s="87" t="s">
        <v>106</v>
      </c>
      <c r="B25" s="89">
        <v>18780.0</v>
      </c>
      <c r="C25" s="89">
        <v>19602.0</v>
      </c>
      <c r="D25" s="89">
        <v>20353.0</v>
      </c>
      <c r="E25" s="89">
        <v>21557.0</v>
      </c>
      <c r="F25" s="91">
        <v>21639.0</v>
      </c>
      <c r="G25" s="89">
        <v>22103.0</v>
      </c>
      <c r="H25" s="89">
        <v>22885.0</v>
      </c>
      <c r="I25" s="89">
        <v>23769.0</v>
      </c>
      <c r="J25" s="89"/>
      <c r="K25" s="89"/>
      <c r="L25" s="89"/>
      <c r="M25" s="89"/>
      <c r="N25" s="89">
        <f t="shared" ref="N25:N29" si="7">SUM(B25:I25)</f>
        <v>170688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>
      <c r="A26" s="87" t="s">
        <v>111</v>
      </c>
      <c r="B26" s="89">
        <f>B25-18215</f>
        <v>565</v>
      </c>
      <c r="C26" s="99">
        <f t="shared" ref="C26:I26" si="6">C25-B25</f>
        <v>822</v>
      </c>
      <c r="D26" s="99">
        <f t="shared" si="6"/>
        <v>751</v>
      </c>
      <c r="E26" s="99">
        <f t="shared" si="6"/>
        <v>1204</v>
      </c>
      <c r="F26" s="100">
        <f t="shared" si="6"/>
        <v>82</v>
      </c>
      <c r="G26" s="89">
        <f t="shared" si="6"/>
        <v>464</v>
      </c>
      <c r="H26" s="89">
        <f t="shared" si="6"/>
        <v>782</v>
      </c>
      <c r="I26" s="89">
        <f t="shared" si="6"/>
        <v>884</v>
      </c>
      <c r="J26" s="89"/>
      <c r="K26" s="89"/>
      <c r="L26" s="89"/>
      <c r="M26" s="89"/>
      <c r="N26" s="89">
        <f t="shared" si="7"/>
        <v>5554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>
      <c r="A27" s="87" t="s">
        <v>117</v>
      </c>
      <c r="B27" s="89">
        <v>4.0</v>
      </c>
      <c r="C27" s="89">
        <v>8.0</v>
      </c>
      <c r="D27" s="89">
        <v>7.0</v>
      </c>
      <c r="E27" s="89">
        <v>7.0</v>
      </c>
      <c r="F27" s="91">
        <v>4.0</v>
      </c>
      <c r="G27" s="89">
        <v>7.0</v>
      </c>
      <c r="H27" s="89">
        <v>6.0</v>
      </c>
      <c r="I27" s="89">
        <v>5.0</v>
      </c>
      <c r="J27" s="89"/>
      <c r="K27" s="89"/>
      <c r="L27" s="89"/>
      <c r="M27" s="89"/>
      <c r="N27" s="89">
        <f t="shared" si="7"/>
        <v>48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>
      <c r="A28" s="87" t="s">
        <v>47</v>
      </c>
      <c r="B28" s="89">
        <v>23983.0</v>
      </c>
      <c r="C28" s="89">
        <v>20301.0</v>
      </c>
      <c r="D28" s="89">
        <v>48400.0</v>
      </c>
      <c r="E28" s="89">
        <v>32713.0</v>
      </c>
      <c r="F28" s="91">
        <v>6441.0</v>
      </c>
      <c r="G28" s="89">
        <v>121816.0</v>
      </c>
      <c r="H28" s="89">
        <v>39177.0</v>
      </c>
      <c r="I28" s="89">
        <v>22324.0</v>
      </c>
      <c r="J28" s="89"/>
      <c r="K28" s="89"/>
      <c r="L28" s="89"/>
      <c r="M28" s="89"/>
      <c r="N28" s="89">
        <f t="shared" si="7"/>
        <v>315155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>
      <c r="A29" s="87" t="s">
        <v>10</v>
      </c>
      <c r="B29" s="89">
        <v>3010.0</v>
      </c>
      <c r="C29" s="89">
        <v>3395.0</v>
      </c>
      <c r="D29" s="89">
        <v>6396.0</v>
      </c>
      <c r="E29" s="89">
        <v>3275.0</v>
      </c>
      <c r="F29" s="91">
        <v>1647.0</v>
      </c>
      <c r="G29" s="89">
        <v>13800.0</v>
      </c>
      <c r="H29" s="89">
        <v>5164.0</v>
      </c>
      <c r="I29" s="89">
        <v>2751.0</v>
      </c>
      <c r="J29" s="89"/>
      <c r="K29" s="89"/>
      <c r="L29" s="89"/>
      <c r="M29" s="89"/>
      <c r="N29" s="89">
        <f t="shared" si="7"/>
        <v>39438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>
      <c r="A30" s="44" t="s">
        <v>11</v>
      </c>
      <c r="B30" s="102">
        <f>B29/B28</f>
        <v>0.1255055664</v>
      </c>
      <c r="C30" s="102">
        <v>0.1672</v>
      </c>
      <c r="D30" s="103">
        <v>0.1321</v>
      </c>
      <c r="E30" s="103">
        <v>0.1001</v>
      </c>
      <c r="F30" s="103">
        <v>0.2557</v>
      </c>
      <c r="G30" s="102">
        <f t="shared" ref="G30:H30" si="8">G29/G28</f>
        <v>0.1132856111</v>
      </c>
      <c r="H30" s="102">
        <f t="shared" si="8"/>
        <v>0.1318120326</v>
      </c>
      <c r="I30" s="103">
        <v>0.1232</v>
      </c>
      <c r="J30" s="104"/>
      <c r="K30" s="104"/>
      <c r="L30" s="104"/>
      <c r="M30" s="104"/>
      <c r="N30" s="10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>
      <c r="A31" s="106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>
      <c r="A32" s="80" t="s">
        <v>129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>
      <c r="A33" s="107" t="s">
        <v>90</v>
      </c>
      <c r="B33" s="108" t="s">
        <v>91</v>
      </c>
      <c r="C33" s="110" t="s">
        <v>92</v>
      </c>
      <c r="D33" s="110" t="s">
        <v>94</v>
      </c>
      <c r="E33" s="110" t="s">
        <v>95</v>
      </c>
      <c r="F33" s="110" t="s">
        <v>96</v>
      </c>
      <c r="G33" s="110" t="s">
        <v>98</v>
      </c>
      <c r="H33" s="110" t="s">
        <v>99</v>
      </c>
      <c r="I33" s="110" t="s">
        <v>100</v>
      </c>
      <c r="J33" s="110" t="s">
        <v>101</v>
      </c>
      <c r="K33" s="110" t="s">
        <v>102</v>
      </c>
      <c r="L33" s="110" t="s">
        <v>103</v>
      </c>
      <c r="M33" s="110" t="s">
        <v>104</v>
      </c>
      <c r="N33" s="110" t="s">
        <v>105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>
      <c r="A34" s="87" t="s">
        <v>106</v>
      </c>
      <c r="B34" s="99">
        <v>40883.0</v>
      </c>
      <c r="C34" s="99">
        <v>40985.0</v>
      </c>
      <c r="D34" s="99">
        <v>41036.0</v>
      </c>
      <c r="E34" s="99">
        <v>41169.0</v>
      </c>
      <c r="F34" s="100">
        <v>41206.0</v>
      </c>
      <c r="G34" s="99">
        <v>41238.0</v>
      </c>
      <c r="H34" s="99">
        <v>41554.0</v>
      </c>
      <c r="I34" s="99">
        <v>41780.0</v>
      </c>
      <c r="J34" s="99"/>
      <c r="K34" s="99"/>
      <c r="L34" s="99"/>
      <c r="M34" s="99"/>
      <c r="N34" s="99">
        <f t="shared" ref="N34:N38" si="10">SUM(B34:I34)</f>
        <v>329851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>
      <c r="A35" s="87" t="s">
        <v>111</v>
      </c>
      <c r="B35" s="112">
        <f>B34-40797</f>
        <v>86</v>
      </c>
      <c r="C35" s="99">
        <f t="shared" ref="C35:I35" si="9">C34-B34</f>
        <v>102</v>
      </c>
      <c r="D35" s="99">
        <f t="shared" si="9"/>
        <v>51</v>
      </c>
      <c r="E35" s="99">
        <f t="shared" si="9"/>
        <v>133</v>
      </c>
      <c r="F35" s="100">
        <f t="shared" si="9"/>
        <v>37</v>
      </c>
      <c r="G35" s="112">
        <f t="shared" si="9"/>
        <v>32</v>
      </c>
      <c r="H35" s="112">
        <f t="shared" si="9"/>
        <v>316</v>
      </c>
      <c r="I35" s="112">
        <f t="shared" si="9"/>
        <v>226</v>
      </c>
      <c r="J35" s="112"/>
      <c r="K35" s="112"/>
      <c r="L35" s="112"/>
      <c r="M35" s="112"/>
      <c r="N35" s="99">
        <f t="shared" si="10"/>
        <v>983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>
      <c r="A36" s="87" t="s">
        <v>117</v>
      </c>
      <c r="B36" s="99">
        <v>1.0</v>
      </c>
      <c r="C36" s="99">
        <v>4.0</v>
      </c>
      <c r="D36" s="99">
        <v>1.0</v>
      </c>
      <c r="E36" s="99">
        <v>4.0</v>
      </c>
      <c r="F36" s="100">
        <v>4.0</v>
      </c>
      <c r="G36" s="99">
        <v>3.0</v>
      </c>
      <c r="H36" s="99">
        <v>2.0</v>
      </c>
      <c r="I36" s="99">
        <v>3.0</v>
      </c>
      <c r="J36" s="99"/>
      <c r="K36" s="99"/>
      <c r="L36" s="99"/>
      <c r="M36" s="99"/>
      <c r="N36" s="99">
        <f t="shared" si="10"/>
        <v>22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>
      <c r="A37" s="87" t="s">
        <v>47</v>
      </c>
      <c r="B37" s="99">
        <v>143.0</v>
      </c>
      <c r="C37" s="99">
        <v>809.0</v>
      </c>
      <c r="D37" s="99">
        <v>513.0</v>
      </c>
      <c r="E37" s="99">
        <v>1089.0</v>
      </c>
      <c r="F37" s="100">
        <v>2161.0</v>
      </c>
      <c r="G37" s="99">
        <v>2195.0</v>
      </c>
      <c r="H37" s="99">
        <v>1138.0</v>
      </c>
      <c r="I37" s="99">
        <v>1041.0</v>
      </c>
      <c r="J37" s="99"/>
      <c r="K37" s="99"/>
      <c r="L37" s="99"/>
      <c r="M37" s="99"/>
      <c r="N37" s="99">
        <f t="shared" si="10"/>
        <v>9089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>
      <c r="A38" s="87" t="s">
        <v>10</v>
      </c>
      <c r="B38" s="99">
        <v>19.0</v>
      </c>
      <c r="C38" s="99">
        <v>47.0</v>
      </c>
      <c r="D38" s="99">
        <v>19.0</v>
      </c>
      <c r="E38" s="99">
        <v>65.0</v>
      </c>
      <c r="F38" s="100">
        <v>90.0</v>
      </c>
      <c r="G38" s="99">
        <v>201.0</v>
      </c>
      <c r="H38" s="99">
        <v>43.0</v>
      </c>
      <c r="I38" s="99">
        <v>130.0</v>
      </c>
      <c r="J38" s="99"/>
      <c r="K38" s="99"/>
      <c r="L38" s="99"/>
      <c r="M38" s="99"/>
      <c r="N38" s="99">
        <f t="shared" si="10"/>
        <v>614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>
      <c r="A39" s="44" t="s">
        <v>144</v>
      </c>
      <c r="B39" s="24">
        <f>B38/B37</f>
        <v>0.1328671329</v>
      </c>
      <c r="C39" s="24">
        <v>0.0581</v>
      </c>
      <c r="D39" s="115">
        <v>0.037</v>
      </c>
      <c r="E39" s="115">
        <v>0.0598</v>
      </c>
      <c r="F39" s="116">
        <v>0.0416</v>
      </c>
      <c r="G39" s="24">
        <f t="shared" ref="G39:H39" si="11">G38/G37</f>
        <v>0.09157175399</v>
      </c>
      <c r="H39" s="24">
        <f t="shared" si="11"/>
        <v>0.03778558875</v>
      </c>
      <c r="I39" s="115">
        <v>0.1249</v>
      </c>
      <c r="J39" s="104"/>
      <c r="K39" s="104"/>
      <c r="L39" s="104"/>
      <c r="M39" s="10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>
      <c r="A41" s="80" t="s">
        <v>75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>
      <c r="A42" s="117" t="s">
        <v>90</v>
      </c>
      <c r="B42" s="118" t="s">
        <v>91</v>
      </c>
      <c r="C42" s="119" t="s">
        <v>92</v>
      </c>
      <c r="D42" s="119" t="s">
        <v>94</v>
      </c>
      <c r="E42" s="119" t="s">
        <v>95</v>
      </c>
      <c r="F42" s="119" t="s">
        <v>96</v>
      </c>
      <c r="G42" s="119" t="s">
        <v>98</v>
      </c>
      <c r="H42" s="119" t="s">
        <v>99</v>
      </c>
      <c r="I42" s="119" t="s">
        <v>100</v>
      </c>
      <c r="J42" s="119" t="s">
        <v>101</v>
      </c>
      <c r="K42" s="119" t="s">
        <v>102</v>
      </c>
      <c r="L42" s="119" t="s">
        <v>103</v>
      </c>
      <c r="M42" s="119" t="s">
        <v>104</v>
      </c>
      <c r="N42" s="119" t="s">
        <v>105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>
      <c r="A43" s="87" t="s">
        <v>106</v>
      </c>
      <c r="B43" s="99">
        <v>1789.0</v>
      </c>
      <c r="C43" s="99">
        <v>1896.0</v>
      </c>
      <c r="D43" s="99">
        <v>1937.0</v>
      </c>
      <c r="E43" s="99">
        <v>2012.0</v>
      </c>
      <c r="F43" s="100">
        <v>2139.0</v>
      </c>
      <c r="G43" s="99">
        <v>2268.0</v>
      </c>
      <c r="H43" s="99">
        <v>2653.0</v>
      </c>
      <c r="I43" s="99">
        <v>2903.0</v>
      </c>
      <c r="J43" s="99"/>
      <c r="K43" s="99"/>
      <c r="L43" s="99"/>
      <c r="M43" s="99"/>
      <c r="N43" s="99">
        <f t="shared" ref="N43:N47" si="13">SUM(B43:I43)</f>
        <v>17597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>
      <c r="A44" s="87" t="s">
        <v>111</v>
      </c>
      <c r="B44" s="99">
        <f>B43-1782</f>
        <v>7</v>
      </c>
      <c r="C44" s="99">
        <f t="shared" ref="C44:I44" si="12">C43-B43</f>
        <v>107</v>
      </c>
      <c r="D44" s="99">
        <f t="shared" si="12"/>
        <v>41</v>
      </c>
      <c r="E44" s="99">
        <f t="shared" si="12"/>
        <v>75</v>
      </c>
      <c r="F44" s="99">
        <f t="shared" si="12"/>
        <v>127</v>
      </c>
      <c r="G44" s="99">
        <f t="shared" si="12"/>
        <v>129</v>
      </c>
      <c r="H44" s="99">
        <f t="shared" si="12"/>
        <v>385</v>
      </c>
      <c r="I44" s="99">
        <f t="shared" si="12"/>
        <v>250</v>
      </c>
      <c r="J44" s="99"/>
      <c r="K44" s="99"/>
      <c r="L44" s="99"/>
      <c r="M44" s="99"/>
      <c r="N44" s="99">
        <f t="shared" si="13"/>
        <v>1121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>
      <c r="A45" s="87" t="s">
        <v>117</v>
      </c>
      <c r="B45" s="99">
        <v>1.0</v>
      </c>
      <c r="C45" s="99">
        <v>6.0</v>
      </c>
      <c r="D45" s="99">
        <v>5.0</v>
      </c>
      <c r="E45" s="99">
        <v>3.0</v>
      </c>
      <c r="F45" s="100">
        <v>3.0</v>
      </c>
      <c r="G45" s="99">
        <v>4.0</v>
      </c>
      <c r="H45" s="99">
        <v>5.0</v>
      </c>
      <c r="I45" s="99">
        <v>4.0</v>
      </c>
      <c r="J45" s="99"/>
      <c r="K45" s="99"/>
      <c r="L45" s="99"/>
      <c r="M45" s="99"/>
      <c r="N45" s="99">
        <f t="shared" si="13"/>
        <v>31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>
      <c r="A46" s="87" t="s">
        <v>47</v>
      </c>
      <c r="B46" s="99">
        <v>3461.0</v>
      </c>
      <c r="C46" s="99">
        <v>10566.0</v>
      </c>
      <c r="D46" s="99">
        <v>10204.0</v>
      </c>
      <c r="E46" s="99">
        <v>10367.0</v>
      </c>
      <c r="F46" s="100">
        <v>4920.0</v>
      </c>
      <c r="G46" s="99">
        <v>71164.0</v>
      </c>
      <c r="H46" s="99">
        <v>39083.0</v>
      </c>
      <c r="I46" s="99">
        <v>20080.0</v>
      </c>
      <c r="J46" s="99"/>
      <c r="K46" s="99"/>
      <c r="L46" s="99"/>
      <c r="M46" s="99"/>
      <c r="N46" s="99">
        <f t="shared" si="13"/>
        <v>169845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>
      <c r="A47" s="87" t="s">
        <v>10</v>
      </c>
      <c r="B47" s="99">
        <v>115.0</v>
      </c>
      <c r="C47" s="99">
        <v>2122.0</v>
      </c>
      <c r="D47" s="99">
        <v>387.0</v>
      </c>
      <c r="E47" s="99">
        <v>176.0</v>
      </c>
      <c r="F47" s="100">
        <v>102.0</v>
      </c>
      <c r="G47" s="99">
        <v>2047.0</v>
      </c>
      <c r="H47" s="99">
        <v>2219.0</v>
      </c>
      <c r="I47" s="99">
        <v>841.0</v>
      </c>
      <c r="J47" s="99"/>
      <c r="K47" s="99"/>
      <c r="L47" s="99"/>
      <c r="M47" s="99"/>
      <c r="N47" s="99">
        <f t="shared" si="13"/>
        <v>8009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>
      <c r="A48" s="121" t="s">
        <v>144</v>
      </c>
      <c r="B48" s="122">
        <f t="shared" ref="B48:C48" si="14">B47/B46</f>
        <v>0.03322739093</v>
      </c>
      <c r="C48" s="122">
        <f t="shared" si="14"/>
        <v>0.2008328601</v>
      </c>
      <c r="D48" s="122">
        <v>0.0379</v>
      </c>
      <c r="E48" s="122">
        <v>0.017</v>
      </c>
      <c r="F48" s="122">
        <v>0.0207</v>
      </c>
      <c r="G48" s="122">
        <v>0.0288</v>
      </c>
      <c r="H48" s="122">
        <v>0.0568</v>
      </c>
      <c r="I48" s="122">
        <v>0.0419</v>
      </c>
      <c r="J48" s="99"/>
      <c r="K48" s="99"/>
      <c r="L48" s="99"/>
      <c r="M48" s="99"/>
      <c r="N48" s="123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>
      <c r="A49" s="124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>
      <c r="A50" s="80" t="s">
        <v>147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>
      <c r="A51" s="125" t="s">
        <v>90</v>
      </c>
      <c r="B51" s="126" t="s">
        <v>91</v>
      </c>
      <c r="C51" s="126" t="s">
        <v>92</v>
      </c>
      <c r="D51" s="126" t="s">
        <v>94</v>
      </c>
      <c r="E51" s="126" t="s">
        <v>95</v>
      </c>
      <c r="F51" s="126" t="s">
        <v>96</v>
      </c>
      <c r="G51" s="126" t="s">
        <v>98</v>
      </c>
      <c r="H51" s="126" t="s">
        <v>99</v>
      </c>
      <c r="I51" s="126" t="s">
        <v>100</v>
      </c>
      <c r="J51" s="126" t="s">
        <v>101</v>
      </c>
      <c r="K51" s="126" t="s">
        <v>102</v>
      </c>
      <c r="L51" s="126" t="s">
        <v>103</v>
      </c>
      <c r="M51" s="126" t="s">
        <v>104</v>
      </c>
      <c r="N51" s="126" t="s">
        <v>105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>
      <c r="A52" s="87" t="s">
        <v>106</v>
      </c>
      <c r="B52" s="99">
        <v>349.0</v>
      </c>
      <c r="C52" s="99">
        <v>413.0</v>
      </c>
      <c r="D52" s="99">
        <v>467.0</v>
      </c>
      <c r="E52" s="99">
        <v>485.0</v>
      </c>
      <c r="F52" s="100">
        <v>508.0</v>
      </c>
      <c r="G52" s="99">
        <v>516.0</v>
      </c>
      <c r="H52" s="99">
        <v>529.0</v>
      </c>
      <c r="I52" s="99">
        <v>534.0</v>
      </c>
      <c r="J52" s="99"/>
      <c r="K52" s="99"/>
      <c r="L52" s="99"/>
      <c r="M52" s="99"/>
      <c r="N52" s="99">
        <f t="shared" ref="N52:N56" si="16">SUM(B52:I52)</f>
        <v>3801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>
      <c r="A53" s="87" t="s">
        <v>111</v>
      </c>
      <c r="B53" s="99">
        <f>B52-345</f>
        <v>4</v>
      </c>
      <c r="C53" s="99">
        <f t="shared" ref="C53:I53" si="15">C52-B52</f>
        <v>64</v>
      </c>
      <c r="D53" s="99">
        <f t="shared" si="15"/>
        <v>54</v>
      </c>
      <c r="E53" s="99">
        <f t="shared" si="15"/>
        <v>18</v>
      </c>
      <c r="F53" s="100">
        <f t="shared" si="15"/>
        <v>23</v>
      </c>
      <c r="G53" s="99">
        <f t="shared" si="15"/>
        <v>8</v>
      </c>
      <c r="H53" s="99">
        <f t="shared" si="15"/>
        <v>13</v>
      </c>
      <c r="I53" s="99">
        <f t="shared" si="15"/>
        <v>5</v>
      </c>
      <c r="J53" s="99"/>
      <c r="K53" s="99"/>
      <c r="L53" s="99"/>
      <c r="M53" s="99"/>
      <c r="N53" s="99">
        <f t="shared" si="16"/>
        <v>189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>
      <c r="A54" s="87" t="s">
        <v>117</v>
      </c>
      <c r="B54" s="99">
        <v>1.0</v>
      </c>
      <c r="C54" s="99">
        <v>5.0</v>
      </c>
      <c r="D54" s="99">
        <v>5.0</v>
      </c>
      <c r="E54" s="99">
        <v>3.0</v>
      </c>
      <c r="F54" s="100">
        <v>3.0</v>
      </c>
      <c r="G54" s="99">
        <v>4.0</v>
      </c>
      <c r="H54" s="99">
        <v>5.0</v>
      </c>
      <c r="I54" s="99">
        <v>3.0</v>
      </c>
      <c r="J54" s="99"/>
      <c r="K54" s="99"/>
      <c r="L54" s="99"/>
      <c r="M54" s="99"/>
      <c r="N54" s="99">
        <f t="shared" si="16"/>
        <v>29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>
      <c r="A55" s="87" t="s">
        <v>47</v>
      </c>
      <c r="B55" s="99">
        <v>472.0</v>
      </c>
      <c r="C55" s="99">
        <v>13911.0</v>
      </c>
      <c r="D55" s="99">
        <v>14410.0</v>
      </c>
      <c r="E55" s="99">
        <v>2679.0</v>
      </c>
      <c r="F55" s="100">
        <v>6943.0</v>
      </c>
      <c r="G55" s="99">
        <v>10168.0</v>
      </c>
      <c r="H55" s="99">
        <v>11113.0</v>
      </c>
      <c r="I55" s="99">
        <v>11839.0</v>
      </c>
      <c r="J55" s="99"/>
      <c r="K55" s="99"/>
      <c r="L55" s="99"/>
      <c r="M55" s="99"/>
      <c r="N55" s="99">
        <f t="shared" si="16"/>
        <v>71535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>
      <c r="A56" s="87" t="s">
        <v>10</v>
      </c>
      <c r="B56" s="99">
        <v>3.0</v>
      </c>
      <c r="C56" s="99">
        <v>470.0</v>
      </c>
      <c r="D56" s="99">
        <v>674.0</v>
      </c>
      <c r="E56" s="99">
        <v>118.0</v>
      </c>
      <c r="F56" s="100">
        <v>13.0</v>
      </c>
      <c r="G56" s="99">
        <v>34.0</v>
      </c>
      <c r="H56" s="99">
        <v>57.0</v>
      </c>
      <c r="I56" s="99">
        <v>75.0</v>
      </c>
      <c r="J56" s="99"/>
      <c r="K56" s="99"/>
      <c r="L56" s="99"/>
      <c r="M56" s="99"/>
      <c r="N56" s="99">
        <f t="shared" si="16"/>
        <v>1444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>
      <c r="A57" s="44" t="s">
        <v>11</v>
      </c>
      <c r="B57" s="24">
        <f>B56/B55</f>
        <v>0.006355932203</v>
      </c>
      <c r="C57" s="122">
        <v>0.0338</v>
      </c>
      <c r="D57" s="122">
        <v>0.0468</v>
      </c>
      <c r="E57" s="115">
        <v>0.044</v>
      </c>
      <c r="F57" s="116">
        <v>0.0019</v>
      </c>
      <c r="G57" s="115">
        <v>0.0033</v>
      </c>
      <c r="H57" s="115">
        <f>H56/H55</f>
        <v>0.005129128048</v>
      </c>
      <c r="I57" s="115">
        <v>0.0063</v>
      </c>
      <c r="J57" s="104"/>
      <c r="K57" s="104"/>
      <c r="L57" s="104"/>
      <c r="M57" s="10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>
      <c r="A61" s="127" t="s">
        <v>148</v>
      </c>
      <c r="B61" s="15"/>
      <c r="C61" s="15"/>
      <c r="D61" s="1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>
      <c r="A62" s="128" t="s">
        <v>149</v>
      </c>
      <c r="B62" s="128" t="s">
        <v>150</v>
      </c>
      <c r="C62" s="128" t="s">
        <v>151</v>
      </c>
      <c r="D62" s="128" t="s">
        <v>152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>
      <c r="A63" s="129" t="s">
        <v>100</v>
      </c>
      <c r="B63" s="130">
        <v>58322.0</v>
      </c>
      <c r="C63" s="130">
        <v>17909.0</v>
      </c>
      <c r="D63" s="130">
        <v>5106.0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>
      <c r="A64" s="131" t="s">
        <v>153</v>
      </c>
      <c r="B64" s="91">
        <v>52775.0</v>
      </c>
      <c r="C64" s="91">
        <v>14643.0</v>
      </c>
      <c r="D64" s="91">
        <v>4593.0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>
      <c r="A65" s="44" t="s">
        <v>154</v>
      </c>
      <c r="B65" s="89">
        <v>41362.0</v>
      </c>
      <c r="C65" s="89">
        <v>10868.0</v>
      </c>
      <c r="D65" s="89">
        <v>3385.0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>
      <c r="A66" s="44" t="s">
        <v>96</v>
      </c>
      <c r="B66" s="89">
        <v>45752.0</v>
      </c>
      <c r="C66" s="89">
        <v>11686.0</v>
      </c>
      <c r="D66" s="89">
        <v>3362.0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>
      <c r="A67" s="44" t="s">
        <v>155</v>
      </c>
      <c r="B67" s="89">
        <v>40504.0</v>
      </c>
      <c r="C67" s="89">
        <v>9778.0</v>
      </c>
      <c r="D67" s="89">
        <v>2851.0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>
      <c r="A68" s="44" t="s">
        <v>156</v>
      </c>
      <c r="B68" s="89">
        <v>33380.0</v>
      </c>
      <c r="C68" s="89">
        <v>9150.0</v>
      </c>
      <c r="D68" s="89">
        <v>2737.0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</sheetData>
  <mergeCells count="8">
    <mergeCell ref="A1:B1"/>
    <mergeCell ref="A3:D3"/>
    <mergeCell ref="A5:D5"/>
    <mergeCell ref="A9:D9"/>
    <mergeCell ref="A12:D12"/>
    <mergeCell ref="A15:D15"/>
    <mergeCell ref="A18:D18"/>
    <mergeCell ref="A61:D6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19.25"/>
    <col customWidth="1" min="4" max="4" width="14.25"/>
    <col customWidth="1" min="7" max="7" width="15.13"/>
    <col customWidth="1" min="10" max="10" width="13.63"/>
    <col customWidth="1" min="13" max="13" width="13.63"/>
    <col customWidth="1" min="14" max="14" width="12.75"/>
    <col customWidth="1" min="15" max="15" width="12.5"/>
    <col customWidth="1" min="16" max="16" width="11.0"/>
  </cols>
  <sheetData>
    <row r="1">
      <c r="A1" s="2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>
      <c r="A2" s="8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21.75" customHeight="1">
      <c r="A3" s="13" t="s">
        <v>18</v>
      </c>
      <c r="B3" s="15"/>
      <c r="C3" s="15"/>
      <c r="D3" s="17"/>
      <c r="E3" s="4"/>
      <c r="F3" s="4"/>
      <c r="G3" s="18" t="s">
        <v>18</v>
      </c>
      <c r="H3" s="15"/>
      <c r="I3" s="15"/>
      <c r="J3" s="15"/>
      <c r="K3" s="15"/>
      <c r="L3" s="15"/>
      <c r="M3" s="15"/>
      <c r="N3" s="15"/>
      <c r="O3" s="15"/>
      <c r="P3" s="17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21" t="s">
        <v>20</v>
      </c>
      <c r="B4" s="21" t="s">
        <v>21</v>
      </c>
      <c r="C4" s="21" t="s">
        <v>22</v>
      </c>
      <c r="D4" s="21" t="s">
        <v>23</v>
      </c>
      <c r="E4" s="4"/>
      <c r="F4" s="4"/>
      <c r="G4" s="22" t="s">
        <v>20</v>
      </c>
      <c r="H4" s="22" t="s">
        <v>24</v>
      </c>
      <c r="I4" s="22" t="s">
        <v>25</v>
      </c>
      <c r="J4" s="22" t="s">
        <v>26</v>
      </c>
      <c r="K4" s="22" t="s">
        <v>27</v>
      </c>
      <c r="L4" s="22" t="s">
        <v>28</v>
      </c>
      <c r="M4" s="22" t="s">
        <v>29</v>
      </c>
      <c r="N4" s="22" t="s">
        <v>30</v>
      </c>
      <c r="O4" s="22" t="s">
        <v>31</v>
      </c>
      <c r="P4" s="22" t="s">
        <v>23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25" t="s">
        <v>32</v>
      </c>
      <c r="B5" s="15"/>
      <c r="C5" s="15"/>
      <c r="D5" s="17"/>
      <c r="E5" s="4"/>
      <c r="F5" s="4"/>
      <c r="G5" s="25" t="s">
        <v>32</v>
      </c>
      <c r="H5" s="15"/>
      <c r="I5" s="15"/>
      <c r="J5" s="15"/>
      <c r="K5" s="15"/>
      <c r="L5" s="15"/>
      <c r="M5" s="15"/>
      <c r="N5" s="15"/>
      <c r="O5" s="15"/>
      <c r="P5" s="17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>
      <c r="A6" s="21" t="s">
        <v>35</v>
      </c>
      <c r="B6" s="28">
        <f>3888</f>
        <v>3888</v>
      </c>
      <c r="C6" s="29">
        <v>6000.0</v>
      </c>
      <c r="D6" s="31">
        <f t="shared" ref="D6:D8" si="1">B6/C6</f>
        <v>0.648</v>
      </c>
      <c r="E6" s="32"/>
      <c r="F6" s="32"/>
      <c r="G6" s="21" t="s">
        <v>35</v>
      </c>
      <c r="H6" s="29">
        <v>2138.0</v>
      </c>
      <c r="I6" s="29">
        <v>1500.0</v>
      </c>
      <c r="J6" s="37">
        <f t="shared" ref="J6:J8" si="2">H6/I6</f>
        <v>1.425333333</v>
      </c>
      <c r="K6" s="29">
        <v>1750.0</v>
      </c>
      <c r="L6" s="29">
        <v>1500.0</v>
      </c>
      <c r="M6" s="37">
        <f t="shared" ref="M6:M8" si="3">K6/L6</f>
        <v>1.166666667</v>
      </c>
      <c r="N6" s="29">
        <f>H6+K6</f>
        <v>3888</v>
      </c>
      <c r="O6" s="29">
        <v>6000.0</v>
      </c>
      <c r="P6" s="31">
        <f t="shared" ref="P6:P8" si="4">N6/O6</f>
        <v>0.648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21" t="s">
        <v>11</v>
      </c>
      <c r="B7" s="31">
        <f>11.33%</f>
        <v>0.1133</v>
      </c>
      <c r="C7" s="38">
        <v>0.15</v>
      </c>
      <c r="D7" s="31">
        <f t="shared" si="1"/>
        <v>0.7553333333</v>
      </c>
      <c r="E7" s="4"/>
      <c r="F7" s="4"/>
      <c r="G7" s="21" t="s">
        <v>11</v>
      </c>
      <c r="H7" s="37">
        <v>0.1416</v>
      </c>
      <c r="I7" s="31">
        <f>15%</f>
        <v>0.15</v>
      </c>
      <c r="J7" s="37">
        <f t="shared" si="2"/>
        <v>0.944</v>
      </c>
      <c r="K7" s="37">
        <v>0.1564</v>
      </c>
      <c r="L7" s="38">
        <f>15%</f>
        <v>0.15</v>
      </c>
      <c r="M7" s="37">
        <f t="shared" si="3"/>
        <v>1.042666667</v>
      </c>
      <c r="N7" s="37">
        <f>14.9%</f>
        <v>0.149</v>
      </c>
      <c r="O7" s="38">
        <f>15%</f>
        <v>0.15</v>
      </c>
      <c r="P7" s="31">
        <f t="shared" si="4"/>
        <v>0.9933333333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21" t="s">
        <v>41</v>
      </c>
      <c r="B8" s="40">
        <v>431.0</v>
      </c>
      <c r="C8" s="40">
        <v>500.0</v>
      </c>
      <c r="D8" s="31">
        <f t="shared" si="1"/>
        <v>0.862</v>
      </c>
      <c r="E8" s="4"/>
      <c r="F8" s="4"/>
      <c r="G8" s="21" t="s">
        <v>41</v>
      </c>
      <c r="H8" s="40">
        <v>197.0</v>
      </c>
      <c r="I8" s="40">
        <v>125.0</v>
      </c>
      <c r="J8" s="37">
        <f t="shared" si="2"/>
        <v>1.576</v>
      </c>
      <c r="K8" s="40">
        <v>234.0</v>
      </c>
      <c r="L8" s="40">
        <v>125.0</v>
      </c>
      <c r="M8" s="37">
        <f t="shared" si="3"/>
        <v>1.872</v>
      </c>
      <c r="N8" s="40">
        <f>H8+K8</f>
        <v>431</v>
      </c>
      <c r="O8" s="40">
        <v>500.0</v>
      </c>
      <c r="P8" s="31">
        <f t="shared" si="4"/>
        <v>0.862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41" t="s">
        <v>44</v>
      </c>
      <c r="B9" s="15"/>
      <c r="C9" s="15"/>
      <c r="D9" s="17"/>
      <c r="E9" s="4"/>
      <c r="F9" s="4"/>
      <c r="G9" s="45" t="s">
        <v>55</v>
      </c>
      <c r="H9" s="15"/>
      <c r="I9" s="15"/>
      <c r="J9" s="15"/>
      <c r="K9" s="15"/>
      <c r="L9" s="15"/>
      <c r="M9" s="15"/>
      <c r="N9" s="15"/>
      <c r="O9" s="15"/>
      <c r="P9" s="1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22" t="s">
        <v>47</v>
      </c>
      <c r="B10" s="42">
        <v>691236.0</v>
      </c>
      <c r="C10" s="42">
        <v>1800000.0</v>
      </c>
      <c r="D10" s="43">
        <f t="shared" ref="D10:D11" si="5">B10/C10</f>
        <v>0.38402</v>
      </c>
      <c r="E10" s="32"/>
      <c r="F10" s="4"/>
      <c r="G10" s="46" t="s">
        <v>47</v>
      </c>
      <c r="H10" s="48">
        <f>1465</f>
        <v>1465</v>
      </c>
      <c r="I10" s="47">
        <f>3750</f>
        <v>3750</v>
      </c>
      <c r="J10" s="49">
        <f>H10/I10</f>
        <v>0.3906666667</v>
      </c>
      <c r="K10" s="48">
        <f>5445</f>
        <v>5445</v>
      </c>
      <c r="L10" s="48">
        <f>3750</f>
        <v>3750</v>
      </c>
      <c r="M10" s="64">
        <f>K10/L10</f>
        <v>1.452</v>
      </c>
      <c r="N10" s="48">
        <f>H10+K10</f>
        <v>6910</v>
      </c>
      <c r="O10" s="48">
        <v>15000.0</v>
      </c>
      <c r="P10" s="49">
        <f>N10/O10</f>
        <v>0.4606666667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>
      <c r="A11" s="22" t="s">
        <v>51</v>
      </c>
      <c r="B11" s="42">
        <v>8265.0</v>
      </c>
      <c r="C11" s="42">
        <v>4200.0</v>
      </c>
      <c r="D11" s="43">
        <f t="shared" si="5"/>
        <v>1.967857143</v>
      </c>
      <c r="E11" s="4"/>
      <c r="F11" s="4"/>
      <c r="G11" s="52" t="s">
        <v>62</v>
      </c>
      <c r="H11" s="15"/>
      <c r="I11" s="15"/>
      <c r="J11" s="15"/>
      <c r="K11" s="15"/>
      <c r="L11" s="15"/>
      <c r="M11" s="15"/>
      <c r="N11" s="15"/>
      <c r="O11" s="15"/>
      <c r="P11" s="17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45" t="s">
        <v>55</v>
      </c>
      <c r="B12" s="15"/>
      <c r="C12" s="15"/>
      <c r="D12" s="17"/>
      <c r="E12" s="4"/>
      <c r="F12" s="4"/>
      <c r="G12" s="55" t="s">
        <v>71</v>
      </c>
      <c r="H12" s="58">
        <v>28793.0</v>
      </c>
      <c r="I12" s="58">
        <v>15000.0</v>
      </c>
      <c r="J12" s="61">
        <f>H12/I12</f>
        <v>1.919533333</v>
      </c>
      <c r="K12" s="58">
        <v>19790.0</v>
      </c>
      <c r="L12" s="58">
        <v>15000.0</v>
      </c>
      <c r="M12" s="78">
        <f>K12/L12</f>
        <v>1.319333333</v>
      </c>
      <c r="N12" s="58">
        <f>H12+K12</f>
        <v>48583</v>
      </c>
      <c r="O12" s="58">
        <v>60000.0</v>
      </c>
      <c r="P12" s="61">
        <f>N12/O12</f>
        <v>0.8097166667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46" t="s">
        <v>47</v>
      </c>
      <c r="B13" s="47">
        <f>6910</f>
        <v>6910</v>
      </c>
      <c r="C13" s="48">
        <v>15000.0</v>
      </c>
      <c r="D13" s="49">
        <f t="shared" ref="D13:D14" si="6">B13/C13</f>
        <v>0.4606666667</v>
      </c>
      <c r="E13" s="4"/>
      <c r="F13" s="4"/>
      <c r="G13" s="63" t="s">
        <v>75</v>
      </c>
      <c r="H13" s="15"/>
      <c r="I13" s="15"/>
      <c r="J13" s="15"/>
      <c r="K13" s="15"/>
      <c r="L13" s="15"/>
      <c r="M13" s="15"/>
      <c r="N13" s="15"/>
      <c r="O13" s="15"/>
      <c r="P13" s="17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46" t="s">
        <v>61</v>
      </c>
      <c r="B14" s="47">
        <f>2195</f>
        <v>2195</v>
      </c>
      <c r="C14" s="48">
        <v>1250.0</v>
      </c>
      <c r="D14" s="49">
        <f t="shared" si="6"/>
        <v>1.756</v>
      </c>
      <c r="E14" s="4"/>
      <c r="F14" s="4"/>
      <c r="G14" s="65" t="s">
        <v>35</v>
      </c>
      <c r="H14" s="88">
        <v>155.0</v>
      </c>
      <c r="I14" s="92">
        <f>375</f>
        <v>375</v>
      </c>
      <c r="J14" s="73">
        <f>H14/I14</f>
        <v>0.4133333333</v>
      </c>
      <c r="K14" s="67">
        <v>331.0</v>
      </c>
      <c r="L14" s="67">
        <v>375.0</v>
      </c>
      <c r="M14" s="95">
        <f>K14/L14</f>
        <v>0.8826666667</v>
      </c>
      <c r="N14" s="67">
        <f>H14+K14</f>
        <v>486</v>
      </c>
      <c r="O14" s="67">
        <v>1500.0</v>
      </c>
      <c r="P14" s="73">
        <f>N14/O14</f>
        <v>0.324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52" t="s">
        <v>62</v>
      </c>
      <c r="B15" s="15"/>
      <c r="C15" s="15"/>
      <c r="D15" s="1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55" t="s">
        <v>61</v>
      </c>
      <c r="B16" s="57">
        <f>10168</f>
        <v>10168</v>
      </c>
      <c r="C16" s="58">
        <v>5000.0</v>
      </c>
      <c r="D16" s="59">
        <f t="shared" ref="D16:D17" si="7">B16/C16</f>
        <v>2.0336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>
      <c r="A17" s="55" t="s">
        <v>71</v>
      </c>
      <c r="B17" s="57">
        <f>48583</f>
        <v>48583</v>
      </c>
      <c r="C17" s="58">
        <v>60000.0</v>
      </c>
      <c r="D17" s="61">
        <f t="shared" si="7"/>
        <v>0.8097166667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>
      <c r="A18" s="63" t="s">
        <v>75</v>
      </c>
      <c r="B18" s="15"/>
      <c r="C18" s="15"/>
      <c r="D18" s="1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>
      <c r="A19" s="65" t="s">
        <v>35</v>
      </c>
      <c r="B19" s="92">
        <f>486</f>
        <v>486</v>
      </c>
      <c r="C19" s="67">
        <v>1500.0</v>
      </c>
      <c r="D19" s="73">
        <f t="shared" ref="D19:D20" si="8">B19/C19</f>
        <v>0.324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>
      <c r="A20" s="65" t="s">
        <v>61</v>
      </c>
      <c r="B20" s="66">
        <f>4920</f>
        <v>4920</v>
      </c>
      <c r="C20" s="67">
        <v>6000.0</v>
      </c>
      <c r="D20" s="73">
        <f t="shared" si="8"/>
        <v>0.82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>
      <c r="A21" s="8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>
      <c r="A22" s="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ht="1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>
      <c r="A424" s="4"/>
      <c r="B424" s="4"/>
      <c r="C424" s="4"/>
      <c r="D424" s="4"/>
      <c r="E424" s="4"/>
      <c r="F424" s="4"/>
      <c r="Q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>
      <c r="A425" s="4"/>
      <c r="B425" s="4"/>
      <c r="C425" s="4"/>
      <c r="D425" s="4"/>
      <c r="E425" s="4"/>
      <c r="F425" s="4"/>
      <c r="Q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>
      <c r="A426" s="4"/>
      <c r="B426" s="4"/>
      <c r="C426" s="4"/>
      <c r="D426" s="4"/>
      <c r="E426" s="4"/>
      <c r="F426" s="4"/>
      <c r="Q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>
      <c r="A427" s="4"/>
      <c r="B427" s="4"/>
      <c r="C427" s="4"/>
      <c r="D427" s="4"/>
      <c r="E427" s="4"/>
      <c r="F427" s="4"/>
      <c r="Q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>
      <c r="A428" s="4"/>
      <c r="B428" s="4"/>
      <c r="C428" s="4"/>
      <c r="D428" s="4"/>
      <c r="E428" s="4"/>
      <c r="F428" s="4"/>
      <c r="Q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>
      <c r="A429" s="4"/>
      <c r="B429" s="4"/>
      <c r="C429" s="4"/>
      <c r="D429" s="4"/>
      <c r="E429" s="4"/>
      <c r="F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</sheetData>
  <mergeCells count="12">
    <mergeCell ref="A9:D9"/>
    <mergeCell ref="A12:D12"/>
    <mergeCell ref="A15:D15"/>
    <mergeCell ref="A18:D18"/>
    <mergeCell ref="A1:B1"/>
    <mergeCell ref="A3:D3"/>
    <mergeCell ref="G3:P3"/>
    <mergeCell ref="A5:D5"/>
    <mergeCell ref="G5:P5"/>
    <mergeCell ref="G9:P9"/>
    <mergeCell ref="G11:P11"/>
    <mergeCell ref="G13:P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9.25"/>
    <col customWidth="1" min="3" max="3" width="36.63"/>
    <col customWidth="1" min="4" max="8" width="9.38"/>
    <col customWidth="1" min="9" max="9" width="13.63"/>
    <col customWidth="1" min="10" max="10" width="13.0"/>
    <col customWidth="1" min="11" max="11" width="9.38"/>
  </cols>
  <sheetData>
    <row r="1" collapsed="1">
      <c r="A1" s="5" t="s">
        <v>3</v>
      </c>
      <c r="B1" s="7" t="s">
        <v>2</v>
      </c>
      <c r="C1" s="5" t="s">
        <v>4</v>
      </c>
      <c r="D1" s="5" t="s">
        <v>5</v>
      </c>
      <c r="E1" s="5" t="s">
        <v>8</v>
      </c>
      <c r="F1" s="5" t="s">
        <v>7</v>
      </c>
      <c r="G1" s="5" t="s">
        <v>14</v>
      </c>
      <c r="H1" s="5" t="s">
        <v>9</v>
      </c>
      <c r="I1" s="5" t="s">
        <v>10</v>
      </c>
      <c r="J1" s="5" t="s">
        <v>15</v>
      </c>
      <c r="K1" s="5" t="s">
        <v>16</v>
      </c>
      <c r="L1" s="11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hidden="1" outlineLevel="1">
      <c r="A2" s="19">
        <v>1.0</v>
      </c>
      <c r="B2" s="10">
        <v>46029.0</v>
      </c>
      <c r="C2" s="12" t="s">
        <v>19</v>
      </c>
      <c r="D2" s="20">
        <v>8843.0</v>
      </c>
      <c r="E2" s="20">
        <v>120.0</v>
      </c>
      <c r="F2" s="20">
        <v>10.0</v>
      </c>
      <c r="G2" s="20">
        <v>60.0</v>
      </c>
      <c r="H2" s="20">
        <v>55.0</v>
      </c>
      <c r="I2" s="23">
        <f t="shared" ref="I2:I5" si="1">SUM(E2:H2)</f>
        <v>245</v>
      </c>
      <c r="J2" s="24">
        <f t="shared" ref="J2:J5" si="2">SUM(I2/D2)</f>
        <v>0.0277055298</v>
      </c>
      <c r="K2" s="20">
        <v>28.0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hidden="1" outlineLevel="1">
      <c r="A3" s="19">
        <v>2.0</v>
      </c>
      <c r="B3" s="10">
        <v>46042.0</v>
      </c>
      <c r="C3" s="12" t="s">
        <v>34</v>
      </c>
      <c r="D3" s="20">
        <v>6371.0</v>
      </c>
      <c r="E3" s="20">
        <v>141.0</v>
      </c>
      <c r="F3" s="20">
        <v>2.0</v>
      </c>
      <c r="G3" s="20">
        <v>72.0</v>
      </c>
      <c r="H3" s="20">
        <v>36.0</v>
      </c>
      <c r="I3" s="23">
        <f t="shared" si="1"/>
        <v>251</v>
      </c>
      <c r="J3" s="24">
        <f t="shared" si="2"/>
        <v>0.03939726887</v>
      </c>
      <c r="K3" s="20">
        <v>9.0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hidden="1" outlineLevel="1">
      <c r="A4" s="19">
        <v>3.0</v>
      </c>
      <c r="B4" s="10">
        <v>46049.0</v>
      </c>
      <c r="C4" s="12" t="s">
        <v>37</v>
      </c>
      <c r="D4" s="20">
        <v>7202.0</v>
      </c>
      <c r="E4" s="20">
        <v>301.0</v>
      </c>
      <c r="F4" s="20">
        <v>5.0</v>
      </c>
      <c r="G4" s="20">
        <v>30.0</v>
      </c>
      <c r="H4" s="20">
        <v>17.0</v>
      </c>
      <c r="I4" s="23">
        <f t="shared" si="1"/>
        <v>353</v>
      </c>
      <c r="J4" s="24">
        <f t="shared" si="2"/>
        <v>0.04901416273</v>
      </c>
      <c r="K4" s="20">
        <v>47.0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hidden="1" outlineLevel="1">
      <c r="A5" s="19">
        <v>4.0</v>
      </c>
      <c r="B5" s="10">
        <v>46052.0</v>
      </c>
      <c r="C5" s="12" t="s">
        <v>38</v>
      </c>
      <c r="D5" s="20">
        <v>1567.0</v>
      </c>
      <c r="E5" s="20">
        <v>649.0</v>
      </c>
      <c r="F5" s="20">
        <v>909.0</v>
      </c>
      <c r="G5" s="20">
        <v>513.0</v>
      </c>
      <c r="H5" s="20">
        <v>90.0</v>
      </c>
      <c r="I5" s="23">
        <f t="shared" si="1"/>
        <v>2161</v>
      </c>
      <c r="J5" s="24">
        <f t="shared" si="2"/>
        <v>1.379068283</v>
      </c>
      <c r="K5" s="20">
        <v>303.0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hidden="1" outlineLevel="1">
      <c r="A6" s="33" t="s">
        <v>36</v>
      </c>
      <c r="B6" s="15"/>
      <c r="C6" s="17"/>
      <c r="D6" s="35">
        <f t="shared" ref="D6:I6" si="3">SUM(D2:D5)</f>
        <v>23983</v>
      </c>
      <c r="E6" s="35">
        <f t="shared" si="3"/>
        <v>1211</v>
      </c>
      <c r="F6" s="35">
        <f t="shared" si="3"/>
        <v>926</v>
      </c>
      <c r="G6" s="35">
        <f t="shared" si="3"/>
        <v>675</v>
      </c>
      <c r="H6" s="35">
        <f t="shared" si="3"/>
        <v>198</v>
      </c>
      <c r="I6" s="35">
        <f t="shared" si="3"/>
        <v>3010</v>
      </c>
      <c r="J6" s="39">
        <f>I6/D6</f>
        <v>0.1255055664</v>
      </c>
      <c r="K6" s="35">
        <f>SUM(K2:K5)</f>
        <v>387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hidden="1" outlineLevel="1">
      <c r="A7" s="19">
        <v>1.0</v>
      </c>
      <c r="B7" s="10">
        <v>46056.0</v>
      </c>
      <c r="C7" s="12" t="s">
        <v>39</v>
      </c>
      <c r="D7" s="20">
        <v>6152.0</v>
      </c>
      <c r="E7" s="20">
        <v>228.0</v>
      </c>
      <c r="F7" s="20">
        <v>0.0</v>
      </c>
      <c r="G7" s="20">
        <v>102.0</v>
      </c>
      <c r="H7" s="20">
        <v>34.0</v>
      </c>
      <c r="I7" s="23">
        <f t="shared" ref="I7:I14" si="4">SUM(E7:H7)</f>
        <v>364</v>
      </c>
      <c r="J7" s="24">
        <f t="shared" ref="J7:J14" si="5">SUM(I7/D7)</f>
        <v>0.05916775033</v>
      </c>
      <c r="K7" s="20">
        <v>29.0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hidden="1" outlineLevel="1">
      <c r="A8" s="19">
        <v>2.0</v>
      </c>
      <c r="B8" s="10">
        <v>46059.0</v>
      </c>
      <c r="C8" s="12" t="s">
        <v>45</v>
      </c>
      <c r="D8" s="20">
        <v>1958.0</v>
      </c>
      <c r="E8" s="20">
        <v>167.0</v>
      </c>
      <c r="F8" s="20">
        <v>0.0</v>
      </c>
      <c r="G8" s="20">
        <v>37.0</v>
      </c>
      <c r="H8" s="20">
        <v>11.0</v>
      </c>
      <c r="I8" s="23">
        <f t="shared" si="4"/>
        <v>215</v>
      </c>
      <c r="J8" s="24">
        <f t="shared" si="5"/>
        <v>0.1098059244</v>
      </c>
      <c r="K8" s="20">
        <v>32.0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hidden="1" outlineLevel="1">
      <c r="A9" s="19">
        <v>3.0</v>
      </c>
      <c r="B9" s="10">
        <v>46060.0</v>
      </c>
      <c r="C9" s="12" t="s">
        <v>48</v>
      </c>
      <c r="D9" s="20">
        <v>1622.0</v>
      </c>
      <c r="E9" s="20">
        <v>96.0</v>
      </c>
      <c r="F9" s="20">
        <v>4.0</v>
      </c>
      <c r="G9" s="20">
        <v>18.0</v>
      </c>
      <c r="H9" s="20">
        <v>3.0</v>
      </c>
      <c r="I9" s="23">
        <f t="shared" si="4"/>
        <v>121</v>
      </c>
      <c r="J9" s="24">
        <f t="shared" si="5"/>
        <v>0.07459926017</v>
      </c>
      <c r="K9" s="20">
        <v>16.0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 hidden="1" outlineLevel="1">
      <c r="A10" s="19">
        <v>4.0</v>
      </c>
      <c r="B10" s="10">
        <v>46063.0</v>
      </c>
      <c r="C10" s="12" t="s">
        <v>42</v>
      </c>
      <c r="D10" s="20">
        <v>1762.0</v>
      </c>
      <c r="E10" s="20">
        <v>117.0</v>
      </c>
      <c r="F10" s="20">
        <v>5.0</v>
      </c>
      <c r="G10" s="20">
        <v>41.0</v>
      </c>
      <c r="H10" s="20">
        <v>33.0</v>
      </c>
      <c r="I10" s="23">
        <f t="shared" si="4"/>
        <v>196</v>
      </c>
      <c r="J10" s="24">
        <f t="shared" si="5"/>
        <v>0.1112372304</v>
      </c>
      <c r="K10" s="20">
        <v>10.0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 hidden="1" outlineLevel="1">
      <c r="A11" s="44">
        <v>5.0</v>
      </c>
      <c r="B11" s="10">
        <v>46066.0</v>
      </c>
      <c r="C11" s="12" t="s">
        <v>53</v>
      </c>
      <c r="D11" s="20">
        <v>2625.0</v>
      </c>
      <c r="E11" s="20">
        <v>313.0</v>
      </c>
      <c r="F11" s="20">
        <v>1.0</v>
      </c>
      <c r="G11" s="20">
        <v>43.0</v>
      </c>
      <c r="H11" s="20">
        <v>8.0</v>
      </c>
      <c r="I11" s="23">
        <f t="shared" si="4"/>
        <v>365</v>
      </c>
      <c r="J11" s="24">
        <f t="shared" si="5"/>
        <v>0.139047619</v>
      </c>
      <c r="K11" s="20">
        <v>41.0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hidden="1" outlineLevel="1">
      <c r="A12" s="44">
        <v>6.0</v>
      </c>
      <c r="B12" s="10">
        <v>46069.0</v>
      </c>
      <c r="C12" s="12" t="s">
        <v>46</v>
      </c>
      <c r="D12" s="20">
        <v>2592.0</v>
      </c>
      <c r="E12" s="20">
        <v>137.0</v>
      </c>
      <c r="F12" s="20">
        <v>7.0</v>
      </c>
      <c r="G12" s="20">
        <v>31.0</v>
      </c>
      <c r="H12" s="20">
        <v>15.0</v>
      </c>
      <c r="I12" s="23">
        <f t="shared" si="4"/>
        <v>190</v>
      </c>
      <c r="J12" s="24">
        <f t="shared" si="5"/>
        <v>0.07330246914</v>
      </c>
      <c r="K12" s="20">
        <v>43.0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hidden="1" outlineLevel="1">
      <c r="A13" s="44">
        <v>7.0</v>
      </c>
      <c r="B13" s="10">
        <v>46070.0</v>
      </c>
      <c r="C13" s="12" t="s">
        <v>56</v>
      </c>
      <c r="D13" s="20">
        <v>2190.0</v>
      </c>
      <c r="E13" s="20">
        <v>160.0</v>
      </c>
      <c r="F13" s="20">
        <v>0.0</v>
      </c>
      <c r="G13" s="20">
        <v>25.0</v>
      </c>
      <c r="H13" s="20">
        <v>1.0</v>
      </c>
      <c r="I13" s="23">
        <f t="shared" si="4"/>
        <v>186</v>
      </c>
      <c r="J13" s="24">
        <f t="shared" si="5"/>
        <v>0.08493150685</v>
      </c>
      <c r="K13" s="20">
        <v>33.0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hidden="1" outlineLevel="1">
      <c r="A14" s="44">
        <v>8.0</v>
      </c>
      <c r="B14" s="10">
        <v>46080.0</v>
      </c>
      <c r="C14" s="12" t="s">
        <v>57</v>
      </c>
      <c r="D14" s="20">
        <v>1400.0</v>
      </c>
      <c r="E14" s="20">
        <v>485.0</v>
      </c>
      <c r="F14" s="20">
        <v>755.0</v>
      </c>
      <c r="G14" s="20">
        <v>427.0</v>
      </c>
      <c r="H14" s="20">
        <v>91.0</v>
      </c>
      <c r="I14" s="23">
        <f t="shared" si="4"/>
        <v>1758</v>
      </c>
      <c r="J14" s="24">
        <f t="shared" si="5"/>
        <v>1.255714286</v>
      </c>
      <c r="K14" s="20">
        <v>172.0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hidden="1" outlineLevel="1">
      <c r="A15" s="33" t="s">
        <v>54</v>
      </c>
      <c r="B15" s="15"/>
      <c r="C15" s="17"/>
      <c r="D15" s="35">
        <f t="shared" ref="D15:I15" si="6">SUM(D7:D14)</f>
        <v>20301</v>
      </c>
      <c r="E15" s="35">
        <f t="shared" si="6"/>
        <v>1703</v>
      </c>
      <c r="F15" s="35">
        <f t="shared" si="6"/>
        <v>772</v>
      </c>
      <c r="G15" s="35">
        <f t="shared" si="6"/>
        <v>724</v>
      </c>
      <c r="H15" s="35">
        <f t="shared" si="6"/>
        <v>196</v>
      </c>
      <c r="I15" s="35">
        <f t="shared" si="6"/>
        <v>3395</v>
      </c>
      <c r="J15" s="39">
        <f>I15/D15</f>
        <v>0.1672331412</v>
      </c>
      <c r="K15" s="35">
        <f>SUM(K7:K14)</f>
        <v>376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hidden="1" outlineLevel="1">
      <c r="A16" s="19">
        <v>1.0</v>
      </c>
      <c r="B16" s="10">
        <v>46087.0</v>
      </c>
      <c r="C16" s="12" t="s">
        <v>58</v>
      </c>
      <c r="D16" s="20">
        <v>4971.0</v>
      </c>
      <c r="E16" s="20">
        <v>235.0</v>
      </c>
      <c r="F16" s="20">
        <v>16.0</v>
      </c>
      <c r="G16" s="20">
        <v>64.0</v>
      </c>
      <c r="H16" s="20">
        <v>183.0</v>
      </c>
      <c r="I16" s="23">
        <f t="shared" ref="I16:I22" si="7">SUM(E16:H16)</f>
        <v>498</v>
      </c>
      <c r="J16" s="24">
        <f t="shared" ref="J16:J22" si="8">SUM(I16/D16)</f>
        <v>0.1001810501</v>
      </c>
      <c r="K16" s="20">
        <v>27.0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hidden="1" outlineLevel="1">
      <c r="A17" s="19">
        <v>2.0</v>
      </c>
      <c r="B17" s="10">
        <v>46088.0</v>
      </c>
      <c r="C17" s="12" t="s">
        <v>63</v>
      </c>
      <c r="D17" s="20">
        <v>6327.0</v>
      </c>
      <c r="E17" s="20">
        <v>400.0</v>
      </c>
      <c r="F17" s="20">
        <v>6.0</v>
      </c>
      <c r="G17" s="20">
        <v>58.0</v>
      </c>
      <c r="H17" s="20">
        <v>140.0</v>
      </c>
      <c r="I17" s="23">
        <f t="shared" si="7"/>
        <v>604</v>
      </c>
      <c r="J17" s="24">
        <f t="shared" si="8"/>
        <v>0.09546388494</v>
      </c>
      <c r="K17" s="20">
        <v>47.0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hidden="1" outlineLevel="1">
      <c r="A18" s="19">
        <v>3.0</v>
      </c>
      <c r="B18" s="10">
        <v>46093.0</v>
      </c>
      <c r="C18" s="12" t="s">
        <v>65</v>
      </c>
      <c r="D18" s="20">
        <v>13174.0</v>
      </c>
      <c r="E18" s="20">
        <v>889.0</v>
      </c>
      <c r="F18" s="20">
        <v>11.0</v>
      </c>
      <c r="G18" s="20">
        <v>535.0</v>
      </c>
      <c r="H18" s="20">
        <v>290.0</v>
      </c>
      <c r="I18" s="23">
        <f t="shared" si="7"/>
        <v>1725</v>
      </c>
      <c r="J18" s="24">
        <f t="shared" si="8"/>
        <v>0.1309397298</v>
      </c>
      <c r="K18" s="20">
        <v>107.0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hidden="1" outlineLevel="1">
      <c r="A19" s="19">
        <v>4.0</v>
      </c>
      <c r="B19" s="10">
        <v>46099.0</v>
      </c>
      <c r="C19" s="12" t="s">
        <v>67</v>
      </c>
      <c r="D19" s="20">
        <v>11013.0</v>
      </c>
      <c r="E19" s="20">
        <v>927.0</v>
      </c>
      <c r="F19" s="20">
        <v>38.0</v>
      </c>
      <c r="G19" s="20">
        <v>121.0</v>
      </c>
      <c r="H19" s="20">
        <v>574.0</v>
      </c>
      <c r="I19" s="23">
        <f t="shared" si="7"/>
        <v>1660</v>
      </c>
      <c r="J19" s="24">
        <f t="shared" si="8"/>
        <v>0.1507309543</v>
      </c>
      <c r="K19" s="20">
        <v>92.0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hidden="1" outlineLevel="1">
      <c r="A20" s="44">
        <v>5.0</v>
      </c>
      <c r="B20" s="10">
        <v>46101.0</v>
      </c>
      <c r="C20" s="12" t="s">
        <v>68</v>
      </c>
      <c r="D20" s="20">
        <v>6331.0</v>
      </c>
      <c r="E20" s="20">
        <v>660.0</v>
      </c>
      <c r="F20" s="20">
        <v>10.0</v>
      </c>
      <c r="G20" s="20">
        <v>37.0</v>
      </c>
      <c r="H20" s="20">
        <v>33.0</v>
      </c>
      <c r="I20" s="23">
        <f t="shared" si="7"/>
        <v>740</v>
      </c>
      <c r="J20" s="24">
        <f t="shared" si="8"/>
        <v>0.1168851682</v>
      </c>
      <c r="K20" s="20">
        <v>8.0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hidden="1" outlineLevel="1">
      <c r="A21" s="44">
        <v>6.0</v>
      </c>
      <c r="B21" s="10">
        <v>46106.0</v>
      </c>
      <c r="C21" s="12" t="s">
        <v>70</v>
      </c>
      <c r="D21" s="20">
        <v>2615.0</v>
      </c>
      <c r="E21" s="20">
        <v>177.0</v>
      </c>
      <c r="F21" s="20">
        <v>101.0</v>
      </c>
      <c r="G21" s="20">
        <v>115.0</v>
      </c>
      <c r="H21" s="20">
        <v>20.0</v>
      </c>
      <c r="I21" s="23">
        <f t="shared" si="7"/>
        <v>413</v>
      </c>
      <c r="J21" s="24">
        <f t="shared" si="8"/>
        <v>0.1579349904</v>
      </c>
      <c r="K21" s="20">
        <v>71.0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hidden="1" outlineLevel="1">
      <c r="A22" s="44">
        <v>7.0</v>
      </c>
      <c r="B22" s="10">
        <v>46112.0</v>
      </c>
      <c r="C22" s="12" t="s">
        <v>73</v>
      </c>
      <c r="D22" s="20">
        <v>3969.0</v>
      </c>
      <c r="E22" s="20">
        <v>401.0</v>
      </c>
      <c r="F22" s="20">
        <v>21.0</v>
      </c>
      <c r="G22" s="20">
        <v>74.0</v>
      </c>
      <c r="H22" s="20">
        <v>260.0</v>
      </c>
      <c r="I22" s="23">
        <f t="shared" si="7"/>
        <v>756</v>
      </c>
      <c r="J22" s="24">
        <f t="shared" si="8"/>
        <v>0.1904761905</v>
      </c>
      <c r="K22" s="20">
        <v>27.0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idden="1" outlineLevel="1">
      <c r="A23" s="33" t="s">
        <v>60</v>
      </c>
      <c r="B23" s="15"/>
      <c r="C23" s="17"/>
      <c r="D23" s="35">
        <f t="shared" ref="D23:I23" si="9">SUM(D16:D22)</f>
        <v>48400</v>
      </c>
      <c r="E23" s="35">
        <f t="shared" si="9"/>
        <v>3689</v>
      </c>
      <c r="F23" s="35">
        <f t="shared" si="9"/>
        <v>203</v>
      </c>
      <c r="G23" s="35">
        <f t="shared" si="9"/>
        <v>1004</v>
      </c>
      <c r="H23" s="35">
        <f t="shared" si="9"/>
        <v>1500</v>
      </c>
      <c r="I23" s="35">
        <f t="shared" si="9"/>
        <v>6396</v>
      </c>
      <c r="J23" s="39">
        <f>I23/D23</f>
        <v>0.1321487603</v>
      </c>
      <c r="K23" s="35">
        <f>SUM(K16:K22)</f>
        <v>379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idden="1" outlineLevel="1">
      <c r="A24" s="9">
        <v>1.0</v>
      </c>
      <c r="B24" s="68">
        <v>46122.0</v>
      </c>
      <c r="C24" s="69" t="s">
        <v>79</v>
      </c>
      <c r="D24" s="20">
        <v>2402.0</v>
      </c>
      <c r="E24" s="20">
        <v>164.0</v>
      </c>
      <c r="F24" s="20">
        <v>0.0</v>
      </c>
      <c r="G24" s="20">
        <v>119.0</v>
      </c>
      <c r="H24" s="20">
        <v>38.0</v>
      </c>
      <c r="I24" s="20">
        <f t="shared" ref="I24:I30" si="10">SUM(E24:H24)</f>
        <v>321</v>
      </c>
      <c r="J24" s="71">
        <f t="shared" ref="J24:J30" si="11">SUM(I24/D24)</f>
        <v>0.1336386345</v>
      </c>
      <c r="K24" s="9">
        <v>13.0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idden="1" outlineLevel="1">
      <c r="A25" s="9">
        <v>2.0</v>
      </c>
      <c r="B25" s="68">
        <v>46129.0</v>
      </c>
      <c r="C25" s="69" t="s">
        <v>81</v>
      </c>
      <c r="D25" s="20">
        <v>5093.0</v>
      </c>
      <c r="E25" s="20">
        <v>215.0</v>
      </c>
      <c r="F25" s="20">
        <v>5.0</v>
      </c>
      <c r="G25" s="20">
        <v>87.0</v>
      </c>
      <c r="H25" s="20">
        <v>94.0</v>
      </c>
      <c r="I25" s="20">
        <f t="shared" si="10"/>
        <v>401</v>
      </c>
      <c r="J25" s="71">
        <f t="shared" si="11"/>
        <v>0.07873551934</v>
      </c>
      <c r="K25" s="9">
        <v>52.0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hidden="1" outlineLevel="1">
      <c r="A26" s="9">
        <v>3.0</v>
      </c>
      <c r="B26" s="68">
        <v>46131.0</v>
      </c>
      <c r="C26" s="69" t="s">
        <v>82</v>
      </c>
      <c r="D26" s="20">
        <v>5626.0</v>
      </c>
      <c r="E26" s="20">
        <v>376.0</v>
      </c>
      <c r="F26" s="20">
        <v>3.0</v>
      </c>
      <c r="G26" s="20">
        <v>61.0</v>
      </c>
      <c r="H26" s="20">
        <v>24.0</v>
      </c>
      <c r="I26" s="20">
        <f t="shared" si="10"/>
        <v>464</v>
      </c>
      <c r="J26" s="71">
        <f t="shared" si="11"/>
        <v>0.0824742268</v>
      </c>
      <c r="K26" s="9">
        <v>48.0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hidden="1" outlineLevel="1">
      <c r="A27" s="9">
        <v>4.0</v>
      </c>
      <c r="B27" s="68">
        <v>46133.0</v>
      </c>
      <c r="C27" s="69" t="s">
        <v>83</v>
      </c>
      <c r="D27" s="20">
        <v>7841.0</v>
      </c>
      <c r="E27" s="20">
        <v>503.0</v>
      </c>
      <c r="F27" s="20">
        <v>30.0</v>
      </c>
      <c r="G27" s="20">
        <v>350.0</v>
      </c>
      <c r="H27" s="20">
        <v>167.0</v>
      </c>
      <c r="I27" s="20">
        <f t="shared" si="10"/>
        <v>1050</v>
      </c>
      <c r="J27" s="71">
        <f t="shared" si="11"/>
        <v>0.1339114909</v>
      </c>
      <c r="K27" s="9">
        <v>83.0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idden="1" outlineLevel="1">
      <c r="A28" s="9">
        <v>5.0</v>
      </c>
      <c r="B28" s="68">
        <v>46135.0</v>
      </c>
      <c r="C28" s="69" t="s">
        <v>85</v>
      </c>
      <c r="D28" s="20">
        <v>3806.0</v>
      </c>
      <c r="E28" s="20">
        <v>183.0</v>
      </c>
      <c r="F28" s="20">
        <v>5.0</v>
      </c>
      <c r="G28" s="20">
        <v>35.0</v>
      </c>
      <c r="H28" s="20">
        <v>25.0</v>
      </c>
      <c r="I28" s="20">
        <f t="shared" si="10"/>
        <v>248</v>
      </c>
      <c r="J28" s="71">
        <f t="shared" si="11"/>
        <v>0.06516027325</v>
      </c>
      <c r="K28" s="9">
        <v>68.0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hidden="1" outlineLevel="1">
      <c r="A29" s="9">
        <v>6.0</v>
      </c>
      <c r="B29" s="68">
        <v>46139.0</v>
      </c>
      <c r="C29" s="69" t="s">
        <v>84</v>
      </c>
      <c r="D29" s="20">
        <v>1759.0</v>
      </c>
      <c r="E29" s="20">
        <v>64.0</v>
      </c>
      <c r="F29" s="20">
        <v>2.0</v>
      </c>
      <c r="G29" s="20">
        <v>50.0</v>
      </c>
      <c r="H29" s="20">
        <v>13.0</v>
      </c>
      <c r="I29" s="20">
        <f t="shared" si="10"/>
        <v>129</v>
      </c>
      <c r="J29" s="71">
        <f t="shared" si="11"/>
        <v>0.07333712337</v>
      </c>
      <c r="K29" s="9">
        <v>16.0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idden="1" outlineLevel="1">
      <c r="A30" s="9">
        <v>7.0</v>
      </c>
      <c r="B30" s="68">
        <v>46141.0</v>
      </c>
      <c r="C30" s="69" t="s">
        <v>87</v>
      </c>
      <c r="D30" s="20">
        <v>6186.0</v>
      </c>
      <c r="E30" s="20">
        <v>309.0</v>
      </c>
      <c r="F30" s="20">
        <v>8.0</v>
      </c>
      <c r="G30" s="20">
        <v>108.0</v>
      </c>
      <c r="H30" s="20">
        <v>237.0</v>
      </c>
      <c r="I30" s="20">
        <f t="shared" si="10"/>
        <v>662</v>
      </c>
      <c r="J30" s="71">
        <f t="shared" si="11"/>
        <v>0.1070158422</v>
      </c>
      <c r="K30" s="9">
        <v>54.0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idden="1" outlineLevel="1">
      <c r="A31" s="81" t="s">
        <v>80</v>
      </c>
      <c r="D31" s="84">
        <f t="shared" ref="D31:I31" si="12">SUM(D24:D30)</f>
        <v>32713</v>
      </c>
      <c r="E31" s="84">
        <f t="shared" si="12"/>
        <v>1814</v>
      </c>
      <c r="F31" s="84">
        <f t="shared" si="12"/>
        <v>53</v>
      </c>
      <c r="G31" s="84">
        <f t="shared" si="12"/>
        <v>810</v>
      </c>
      <c r="H31" s="84">
        <f t="shared" si="12"/>
        <v>598</v>
      </c>
      <c r="I31" s="84">
        <f t="shared" si="12"/>
        <v>3275</v>
      </c>
      <c r="J31" s="86">
        <f t="shared" ref="J31:J57" si="13">I31/D31</f>
        <v>0.1001131049</v>
      </c>
      <c r="K31" s="90">
        <f>SUM(K24:K30)</f>
        <v>334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idden="1" outlineLevel="1">
      <c r="A32" s="9">
        <v>1.0</v>
      </c>
      <c r="B32" s="93">
        <v>46150.0</v>
      </c>
      <c r="C32" s="9" t="s">
        <v>109</v>
      </c>
      <c r="D32" s="94">
        <v>3657.0</v>
      </c>
      <c r="E32" s="94">
        <v>288.0</v>
      </c>
      <c r="F32" s="94">
        <v>374.0</v>
      </c>
      <c r="G32" s="94">
        <v>208.0</v>
      </c>
      <c r="H32" s="94">
        <v>79.0</v>
      </c>
      <c r="I32" s="96">
        <f t="shared" ref="I32:I35" si="14">E32+F32+G32+H32</f>
        <v>949</v>
      </c>
      <c r="J32" s="98">
        <f t="shared" si="13"/>
        <v>0.2595023243</v>
      </c>
      <c r="K32" s="94">
        <v>191.0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idden="1" outlineLevel="1">
      <c r="A33" s="9">
        <v>2.0</v>
      </c>
      <c r="B33" s="93">
        <v>46155.0</v>
      </c>
      <c r="C33" s="9" t="s">
        <v>88</v>
      </c>
      <c r="D33" s="94">
        <v>1041.0</v>
      </c>
      <c r="E33" s="94">
        <v>167.0</v>
      </c>
      <c r="F33" s="94">
        <v>1.0</v>
      </c>
      <c r="G33" s="94">
        <v>47.0</v>
      </c>
      <c r="H33" s="94">
        <v>25.0</v>
      </c>
      <c r="I33" s="96">
        <f t="shared" si="14"/>
        <v>240</v>
      </c>
      <c r="J33" s="98">
        <f t="shared" si="13"/>
        <v>0.2305475504</v>
      </c>
      <c r="K33" s="94">
        <v>7.0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hidden="1" outlineLevel="1">
      <c r="A34" s="9">
        <v>3.0</v>
      </c>
      <c r="B34" s="93">
        <v>46162.0</v>
      </c>
      <c r="C34" s="9" t="s">
        <v>107</v>
      </c>
      <c r="D34" s="94">
        <v>1241.0</v>
      </c>
      <c r="E34" s="101">
        <v>182.0</v>
      </c>
      <c r="F34" s="94">
        <v>1.0</v>
      </c>
      <c r="G34" s="94">
        <v>70.0</v>
      </c>
      <c r="H34" s="94">
        <v>21.0</v>
      </c>
      <c r="I34" s="96">
        <f t="shared" si="14"/>
        <v>274</v>
      </c>
      <c r="J34" s="98">
        <f t="shared" si="13"/>
        <v>0.2207896857</v>
      </c>
      <c r="K34" s="94">
        <v>8.0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idden="1" outlineLevel="1">
      <c r="A35" s="9">
        <v>4.0</v>
      </c>
      <c r="B35" s="93">
        <v>46171.0</v>
      </c>
      <c r="C35" s="9" t="s">
        <v>116</v>
      </c>
      <c r="D35" s="94">
        <v>502.0</v>
      </c>
      <c r="E35" s="94">
        <v>122.0</v>
      </c>
      <c r="F35" s="94">
        <v>0.0</v>
      </c>
      <c r="G35" s="94">
        <v>36.0</v>
      </c>
      <c r="H35" s="94">
        <v>26.0</v>
      </c>
      <c r="I35" s="96">
        <f t="shared" si="14"/>
        <v>184</v>
      </c>
      <c r="J35" s="98">
        <f t="shared" si="13"/>
        <v>0.3665338645</v>
      </c>
      <c r="K35" s="94">
        <v>5.0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idden="1" outlineLevel="1">
      <c r="A36" s="81" t="s">
        <v>110</v>
      </c>
      <c r="D36" s="84">
        <f t="shared" ref="D36:I36" si="15">SUM(D32:D35)</f>
        <v>6441</v>
      </c>
      <c r="E36" s="84">
        <f t="shared" si="15"/>
        <v>759</v>
      </c>
      <c r="F36" s="84">
        <f t="shared" si="15"/>
        <v>376</v>
      </c>
      <c r="G36" s="84">
        <f t="shared" si="15"/>
        <v>361</v>
      </c>
      <c r="H36" s="84">
        <f t="shared" si="15"/>
        <v>151</v>
      </c>
      <c r="I36" s="84">
        <f t="shared" si="15"/>
        <v>1647</v>
      </c>
      <c r="J36" s="86">
        <f t="shared" si="13"/>
        <v>0.2557056358</v>
      </c>
      <c r="K36" s="90">
        <f>SUM(K32:K35)</f>
        <v>211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hidden="1" outlineLevel="1">
      <c r="A37" s="9">
        <v>1.0</v>
      </c>
      <c r="B37" s="68">
        <v>46174.0</v>
      </c>
      <c r="C37" s="9" t="s">
        <v>121</v>
      </c>
      <c r="D37" s="20">
        <v>753.0</v>
      </c>
      <c r="E37" s="20">
        <v>34.0</v>
      </c>
      <c r="F37" s="20">
        <v>30.0</v>
      </c>
      <c r="G37" s="20">
        <v>20.0</v>
      </c>
      <c r="H37" s="20">
        <v>16.0</v>
      </c>
      <c r="I37" s="20">
        <f t="shared" ref="I37:I43" si="16">SUM(E37:H37)</f>
        <v>100</v>
      </c>
      <c r="J37" s="71">
        <f t="shared" si="13"/>
        <v>0.1328021248</v>
      </c>
      <c r="K37" s="9">
        <v>19.0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idden="1" outlineLevel="1">
      <c r="A38" s="9">
        <v>2.0</v>
      </c>
      <c r="B38" s="68">
        <v>46178.0</v>
      </c>
      <c r="C38" s="9" t="s">
        <v>122</v>
      </c>
      <c r="D38" s="20">
        <v>95731.0</v>
      </c>
      <c r="E38" s="20">
        <v>4043.0</v>
      </c>
      <c r="F38" s="20">
        <v>91.0</v>
      </c>
      <c r="G38" s="20">
        <v>4589.0</v>
      </c>
      <c r="H38" s="20">
        <v>1895.0</v>
      </c>
      <c r="I38" s="20">
        <f t="shared" si="16"/>
        <v>10618</v>
      </c>
      <c r="J38" s="71">
        <f t="shared" si="13"/>
        <v>0.1109149596</v>
      </c>
      <c r="K38" s="9">
        <v>293.0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hidden="1" outlineLevel="1">
      <c r="A39" s="9">
        <v>3.0</v>
      </c>
      <c r="B39" s="68">
        <v>46182.0</v>
      </c>
      <c r="C39" s="9" t="s">
        <v>112</v>
      </c>
      <c r="D39" s="20">
        <v>4600.0</v>
      </c>
      <c r="E39" s="20">
        <v>211.0</v>
      </c>
      <c r="F39" s="20">
        <v>0.0</v>
      </c>
      <c r="G39" s="20">
        <v>142.0</v>
      </c>
      <c r="H39" s="20">
        <v>40.0</v>
      </c>
      <c r="I39" s="20">
        <f t="shared" si="16"/>
        <v>393</v>
      </c>
      <c r="J39" s="71">
        <f t="shared" si="13"/>
        <v>0.08543478261</v>
      </c>
      <c r="K39" s="9">
        <v>16.0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hidden="1" outlineLevel="1">
      <c r="A40" s="9">
        <v>4.0</v>
      </c>
      <c r="B40" s="68">
        <v>46184.0</v>
      </c>
      <c r="C40" s="9" t="s">
        <v>114</v>
      </c>
      <c r="D40" s="20">
        <v>1398.0</v>
      </c>
      <c r="E40" s="20">
        <v>137.0</v>
      </c>
      <c r="F40" s="20">
        <v>2.0</v>
      </c>
      <c r="G40" s="20">
        <v>21.0</v>
      </c>
      <c r="H40" s="20">
        <v>40.0</v>
      </c>
      <c r="I40" s="20">
        <f t="shared" si="16"/>
        <v>200</v>
      </c>
      <c r="J40" s="71">
        <f t="shared" si="13"/>
        <v>0.1430615165</v>
      </c>
      <c r="K40" s="9">
        <v>9.0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hidden="1" outlineLevel="1">
      <c r="A41" s="50">
        <v>5.0</v>
      </c>
      <c r="B41" s="68">
        <v>46191.0</v>
      </c>
      <c r="C41" s="69" t="s">
        <v>126</v>
      </c>
      <c r="D41" s="20">
        <v>2572.0</v>
      </c>
      <c r="E41" s="20">
        <v>337.0</v>
      </c>
      <c r="F41" s="20">
        <v>8.0</v>
      </c>
      <c r="G41" s="20">
        <v>55.0</v>
      </c>
      <c r="H41" s="20">
        <v>35.0</v>
      </c>
      <c r="I41" s="20">
        <f t="shared" si="16"/>
        <v>435</v>
      </c>
      <c r="J41" s="71">
        <f t="shared" si="13"/>
        <v>0.1691290824</v>
      </c>
      <c r="K41" s="9">
        <v>18.0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hidden="1" outlineLevel="1">
      <c r="A42" s="9">
        <v>6.0</v>
      </c>
      <c r="B42" s="68">
        <v>46197.0</v>
      </c>
      <c r="C42" s="69" t="s">
        <v>128</v>
      </c>
      <c r="D42" s="20">
        <v>3847.0</v>
      </c>
      <c r="E42" s="20">
        <v>227.0</v>
      </c>
      <c r="F42" s="20">
        <v>2.0</v>
      </c>
      <c r="G42" s="20">
        <v>87.0</v>
      </c>
      <c r="H42" s="20">
        <v>48.0</v>
      </c>
      <c r="I42" s="20">
        <f t="shared" si="16"/>
        <v>364</v>
      </c>
      <c r="J42" s="71">
        <f t="shared" si="13"/>
        <v>0.09461918378</v>
      </c>
      <c r="K42" s="9">
        <v>29.0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idden="1" outlineLevel="1">
      <c r="A43" s="9">
        <v>7.0</v>
      </c>
      <c r="B43" s="68">
        <v>46199.0</v>
      </c>
      <c r="C43" s="69" t="s">
        <v>118</v>
      </c>
      <c r="D43" s="20">
        <v>12915.0</v>
      </c>
      <c r="E43" s="20">
        <v>599.0</v>
      </c>
      <c r="F43" s="20">
        <v>115.0</v>
      </c>
      <c r="G43" s="20">
        <v>168.0</v>
      </c>
      <c r="H43" s="20">
        <v>808.0</v>
      </c>
      <c r="I43" s="20">
        <f t="shared" si="16"/>
        <v>1690</v>
      </c>
      <c r="J43" s="71">
        <f t="shared" si="13"/>
        <v>0.1308555943</v>
      </c>
      <c r="K43" s="9">
        <v>68.0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hidden="1" outlineLevel="1">
      <c r="A44" s="81" t="s">
        <v>120</v>
      </c>
      <c r="D44" s="84">
        <f t="shared" ref="D44:I44" si="17">SUM(D37:D43)</f>
        <v>121816</v>
      </c>
      <c r="E44" s="84">
        <f t="shared" si="17"/>
        <v>5588</v>
      </c>
      <c r="F44" s="84">
        <f t="shared" si="17"/>
        <v>248</v>
      </c>
      <c r="G44" s="84">
        <f t="shared" si="17"/>
        <v>5082</v>
      </c>
      <c r="H44" s="84">
        <f t="shared" si="17"/>
        <v>2882</v>
      </c>
      <c r="I44" s="84">
        <f t="shared" si="17"/>
        <v>13800</v>
      </c>
      <c r="J44" s="86">
        <f t="shared" si="13"/>
        <v>0.1132856111</v>
      </c>
      <c r="K44" s="90">
        <f>SUM(K37:K43)</f>
        <v>452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hidden="1" outlineLevel="1">
      <c r="A45" s="9">
        <v>1.0</v>
      </c>
      <c r="B45" s="68">
        <v>46206.0</v>
      </c>
      <c r="C45" s="9" t="s">
        <v>133</v>
      </c>
      <c r="D45" s="20">
        <v>2681.0</v>
      </c>
      <c r="E45" s="20">
        <v>149.0</v>
      </c>
      <c r="F45" s="20">
        <v>1.0</v>
      </c>
      <c r="G45" s="20">
        <v>28.0</v>
      </c>
      <c r="H45" s="20">
        <v>42.0</v>
      </c>
      <c r="I45" s="20">
        <f t="shared" ref="I45:I50" si="18">E45+F45+G45+H45</f>
        <v>220</v>
      </c>
      <c r="J45" s="71">
        <f t="shared" si="13"/>
        <v>0.08205893323</v>
      </c>
      <c r="K45" s="9">
        <v>7.0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idden="1" outlineLevel="1">
      <c r="A46" s="9">
        <v>2.0</v>
      </c>
      <c r="B46" s="68">
        <v>46209.0</v>
      </c>
      <c r="C46" s="9" t="s">
        <v>135</v>
      </c>
      <c r="D46" s="20">
        <v>14359.0</v>
      </c>
      <c r="E46" s="20">
        <v>599.0</v>
      </c>
      <c r="F46" s="20">
        <v>34.0</v>
      </c>
      <c r="G46" s="20">
        <v>116.0</v>
      </c>
      <c r="H46" s="20">
        <v>463.0</v>
      </c>
      <c r="I46" s="20">
        <f t="shared" si="18"/>
        <v>1212</v>
      </c>
      <c r="J46" s="71">
        <f t="shared" si="13"/>
        <v>0.08440699213</v>
      </c>
      <c r="K46" s="9">
        <v>137.0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hidden="1" outlineLevel="1">
      <c r="A47" s="9">
        <v>3.0</v>
      </c>
      <c r="B47" s="68">
        <v>46213.0</v>
      </c>
      <c r="C47" s="9" t="s">
        <v>137</v>
      </c>
      <c r="D47" s="20">
        <v>9233.0</v>
      </c>
      <c r="E47" s="20">
        <v>1135.0</v>
      </c>
      <c r="F47" s="20">
        <v>27.0</v>
      </c>
      <c r="G47" s="20">
        <v>124.0</v>
      </c>
      <c r="H47" s="20">
        <v>256.0</v>
      </c>
      <c r="I47" s="20">
        <f t="shared" si="18"/>
        <v>1542</v>
      </c>
      <c r="J47" s="71">
        <f t="shared" si="13"/>
        <v>0.1670096393</v>
      </c>
      <c r="K47" s="9">
        <v>137.0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hidden="1" outlineLevel="1">
      <c r="A48" s="9">
        <v>4.0</v>
      </c>
      <c r="B48" s="68">
        <v>46219.0</v>
      </c>
      <c r="C48" s="9" t="s">
        <v>138</v>
      </c>
      <c r="D48" s="20">
        <v>4154.0</v>
      </c>
      <c r="E48" s="20">
        <v>529.0</v>
      </c>
      <c r="F48" s="20">
        <v>0.0</v>
      </c>
      <c r="G48" s="20">
        <v>67.0</v>
      </c>
      <c r="H48" s="20">
        <f t="shared" ref="H48:H50" si="19">E48+F48+G48</f>
        <v>596</v>
      </c>
      <c r="I48" s="20">
        <f t="shared" si="18"/>
        <v>1192</v>
      </c>
      <c r="J48" s="71">
        <f t="shared" si="13"/>
        <v>0.2869523351</v>
      </c>
      <c r="K48" s="9">
        <v>12.0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hidden="1" outlineLevel="1">
      <c r="A49" s="9">
        <v>5.0</v>
      </c>
      <c r="B49" s="68">
        <v>46224.0</v>
      </c>
      <c r="C49" s="9" t="s">
        <v>125</v>
      </c>
      <c r="D49" s="20">
        <v>5472.0</v>
      </c>
      <c r="E49" s="20">
        <v>167.0</v>
      </c>
      <c r="F49" s="20">
        <v>11.0</v>
      </c>
      <c r="G49" s="20">
        <v>106.0</v>
      </c>
      <c r="H49" s="20">
        <f t="shared" si="19"/>
        <v>284</v>
      </c>
      <c r="I49" s="20">
        <f t="shared" si="18"/>
        <v>568</v>
      </c>
      <c r="J49" s="71">
        <f t="shared" si="13"/>
        <v>0.1038011696</v>
      </c>
      <c r="K49" s="9">
        <v>29.0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hidden="1" outlineLevel="1">
      <c r="A50" s="9">
        <v>6.0</v>
      </c>
      <c r="B50" s="68">
        <v>46233.0</v>
      </c>
      <c r="C50" s="9" t="s">
        <v>142</v>
      </c>
      <c r="D50" s="20">
        <v>3278.0</v>
      </c>
      <c r="E50" s="20">
        <v>184.0</v>
      </c>
      <c r="F50" s="20">
        <v>1.0</v>
      </c>
      <c r="G50" s="20">
        <v>30.0</v>
      </c>
      <c r="H50" s="20">
        <f t="shared" si="19"/>
        <v>215</v>
      </c>
      <c r="I50" s="20">
        <f t="shared" si="18"/>
        <v>430</v>
      </c>
      <c r="J50" s="71">
        <f t="shared" si="13"/>
        <v>0.1311775473</v>
      </c>
      <c r="K50" s="9">
        <v>28.0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hidden="1" outlineLevel="1">
      <c r="A51" s="81" t="s">
        <v>130</v>
      </c>
      <c r="D51" s="35">
        <f t="shared" ref="D51:I51" si="20">SUM(D45:D50)</f>
        <v>39177</v>
      </c>
      <c r="E51" s="35">
        <f t="shared" si="20"/>
        <v>2763</v>
      </c>
      <c r="F51" s="35">
        <f t="shared" si="20"/>
        <v>74</v>
      </c>
      <c r="G51" s="35">
        <f t="shared" si="20"/>
        <v>471</v>
      </c>
      <c r="H51" s="35">
        <f t="shared" si="20"/>
        <v>1856</v>
      </c>
      <c r="I51" s="35">
        <f t="shared" si="20"/>
        <v>5164</v>
      </c>
      <c r="J51" s="86">
        <f t="shared" si="13"/>
        <v>0.1318120326</v>
      </c>
      <c r="K51" s="90">
        <f>SUM(K45:K50)</f>
        <v>350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9">
        <v>1.0</v>
      </c>
      <c r="B52" s="68">
        <v>46237.0</v>
      </c>
      <c r="C52" s="69" t="s">
        <v>143</v>
      </c>
      <c r="D52" s="20">
        <v>4533.0</v>
      </c>
      <c r="E52" s="20">
        <v>326.0</v>
      </c>
      <c r="F52" s="20">
        <v>4.0</v>
      </c>
      <c r="G52" s="20">
        <v>65.0</v>
      </c>
      <c r="H52" s="20">
        <v>61.0</v>
      </c>
      <c r="I52" s="20">
        <f t="shared" ref="I52:I56" si="21">E52+F52+G52+H52</f>
        <v>456</v>
      </c>
      <c r="J52" s="71">
        <f t="shared" si="13"/>
        <v>0.100595632</v>
      </c>
      <c r="K52" s="9">
        <v>13.0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9">
        <v>2.0</v>
      </c>
      <c r="B53" s="68">
        <v>46241.0</v>
      </c>
      <c r="C53" s="69" t="s">
        <v>145</v>
      </c>
      <c r="D53" s="20">
        <v>10869.0</v>
      </c>
      <c r="E53" s="20">
        <v>1099.0</v>
      </c>
      <c r="F53" s="20">
        <v>31.0</v>
      </c>
      <c r="G53" s="20">
        <v>222.0</v>
      </c>
      <c r="H53" s="20">
        <v>242.0</v>
      </c>
      <c r="I53" s="20">
        <f t="shared" si="21"/>
        <v>1594</v>
      </c>
      <c r="J53" s="71">
        <f t="shared" si="13"/>
        <v>0.1466556261</v>
      </c>
      <c r="K53" s="9">
        <v>78.0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9">
        <v>3.0</v>
      </c>
      <c r="B54" s="68">
        <v>46246.0</v>
      </c>
      <c r="C54" s="69" t="s">
        <v>134</v>
      </c>
      <c r="D54" s="20">
        <v>1376.0</v>
      </c>
      <c r="E54" s="20">
        <v>129.0</v>
      </c>
      <c r="F54" s="20">
        <v>1.0</v>
      </c>
      <c r="G54" s="20">
        <v>51.0</v>
      </c>
      <c r="H54" s="20">
        <v>37.0</v>
      </c>
      <c r="I54" s="20">
        <f t="shared" si="21"/>
        <v>218</v>
      </c>
      <c r="J54" s="71">
        <f t="shared" si="13"/>
        <v>0.1584302326</v>
      </c>
      <c r="K54" s="9">
        <v>12.0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9">
        <v>4.0</v>
      </c>
      <c r="B55" s="68">
        <v>46254.0</v>
      </c>
      <c r="C55" s="69" t="s">
        <v>146</v>
      </c>
      <c r="D55" s="20">
        <v>4679.0</v>
      </c>
      <c r="E55" s="20">
        <v>233.0</v>
      </c>
      <c r="F55" s="20">
        <v>2.0</v>
      </c>
      <c r="G55" s="20">
        <v>69.0</v>
      </c>
      <c r="H55" s="20">
        <v>14.0</v>
      </c>
      <c r="I55" s="20">
        <f t="shared" si="21"/>
        <v>318</v>
      </c>
      <c r="J55" s="71">
        <f t="shared" si="13"/>
        <v>0.06796324001</v>
      </c>
      <c r="K55" s="9">
        <v>16.0</v>
      </c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9">
        <v>5.0</v>
      </c>
      <c r="B56" s="68">
        <v>46262.0</v>
      </c>
      <c r="C56" s="69" t="s">
        <v>139</v>
      </c>
      <c r="D56" s="20">
        <v>867.0</v>
      </c>
      <c r="E56" s="20">
        <v>107.0</v>
      </c>
      <c r="F56" s="20">
        <v>3.0</v>
      </c>
      <c r="G56" s="20">
        <v>44.0</v>
      </c>
      <c r="H56" s="20">
        <v>11.0</v>
      </c>
      <c r="I56" s="20">
        <f t="shared" si="21"/>
        <v>165</v>
      </c>
      <c r="J56" s="71">
        <f t="shared" si="13"/>
        <v>0.1903114187</v>
      </c>
      <c r="K56" s="9">
        <v>6.0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33" t="s">
        <v>141</v>
      </c>
      <c r="B57" s="15"/>
      <c r="C57" s="17"/>
      <c r="D57" s="35">
        <f t="shared" ref="D57:I57" si="22">SUM(D52:D56)</f>
        <v>22324</v>
      </c>
      <c r="E57" s="35">
        <f t="shared" si="22"/>
        <v>1894</v>
      </c>
      <c r="F57" s="35">
        <f t="shared" si="22"/>
        <v>41</v>
      </c>
      <c r="G57" s="35">
        <f t="shared" si="22"/>
        <v>451</v>
      </c>
      <c r="H57" s="35">
        <f t="shared" si="22"/>
        <v>365</v>
      </c>
      <c r="I57" s="35">
        <f t="shared" si="22"/>
        <v>2751</v>
      </c>
      <c r="J57" s="86">
        <f t="shared" si="13"/>
        <v>0.1232306038</v>
      </c>
      <c r="K57" s="90">
        <f>SUM(K52:K56)</f>
        <v>125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14"/>
      <c r="B58" s="14"/>
      <c r="C58" s="120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14"/>
      <c r="B59" s="14"/>
      <c r="C59" s="120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14"/>
      <c r="B60" s="14"/>
      <c r="C60" s="120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14"/>
      <c r="B61" s="14"/>
      <c r="C61" s="120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14"/>
      <c r="B62" s="14"/>
      <c r="C62" s="120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14"/>
      <c r="B63" s="14"/>
      <c r="C63" s="120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14"/>
      <c r="B64" s="14"/>
      <c r="C64" s="120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14"/>
      <c r="B65" s="14"/>
      <c r="C65" s="120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14"/>
      <c r="B66" s="14"/>
      <c r="C66" s="120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14"/>
      <c r="B67" s="14"/>
      <c r="C67" s="120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14"/>
      <c r="B68" s="14"/>
      <c r="C68" s="120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14"/>
      <c r="B69" s="14"/>
      <c r="C69" s="120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14"/>
      <c r="B70" s="14"/>
      <c r="C70" s="120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14"/>
      <c r="B71" s="14"/>
      <c r="C71" s="120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14"/>
      <c r="B72" s="14"/>
      <c r="C72" s="120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14"/>
      <c r="B73" s="14"/>
      <c r="C73" s="120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14"/>
      <c r="B74" s="14"/>
      <c r="C74" s="120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14"/>
      <c r="B75" s="14"/>
      <c r="C75" s="120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14"/>
      <c r="B76" s="14"/>
      <c r="C76" s="120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14"/>
      <c r="B77" s="14"/>
      <c r="C77" s="120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14"/>
      <c r="B78" s="14"/>
      <c r="C78" s="120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14"/>
      <c r="B79" s="14"/>
      <c r="C79" s="120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14"/>
      <c r="B80" s="14"/>
      <c r="C80" s="120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14"/>
      <c r="B81" s="14"/>
      <c r="C81" s="120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14"/>
      <c r="B82" s="14"/>
      <c r="C82" s="120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14"/>
      <c r="B83" s="14"/>
      <c r="C83" s="120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14"/>
      <c r="B84" s="14"/>
      <c r="C84" s="120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14"/>
      <c r="B85" s="14"/>
      <c r="C85" s="120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14"/>
      <c r="B86" s="14"/>
      <c r="C86" s="120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14"/>
      <c r="B87" s="14"/>
      <c r="C87" s="120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14"/>
      <c r="B88" s="14"/>
      <c r="C88" s="120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14"/>
      <c r="B89" s="14"/>
      <c r="C89" s="120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14"/>
      <c r="B90" s="14"/>
      <c r="C90" s="120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14"/>
      <c r="B91" s="14"/>
      <c r="C91" s="120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14"/>
      <c r="B92" s="14"/>
      <c r="C92" s="120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14"/>
      <c r="B93" s="14"/>
      <c r="C93" s="120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14"/>
      <c r="B94" s="14"/>
      <c r="C94" s="120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4"/>
      <c r="B95" s="14"/>
      <c r="C95" s="120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14"/>
      <c r="B96" s="14"/>
      <c r="C96" s="120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14"/>
      <c r="B97" s="14"/>
      <c r="C97" s="120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14"/>
      <c r="B98" s="14"/>
      <c r="C98" s="120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14"/>
      <c r="B99" s="14"/>
      <c r="C99" s="120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14"/>
      <c r="B100" s="14"/>
      <c r="C100" s="120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14"/>
      <c r="B101" s="14"/>
      <c r="C101" s="120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14"/>
      <c r="B102" s="14"/>
      <c r="C102" s="120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14"/>
      <c r="B103" s="14"/>
      <c r="C103" s="120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14"/>
      <c r="B104" s="14"/>
      <c r="C104" s="120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14"/>
      <c r="B105" s="14"/>
      <c r="C105" s="120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14"/>
      <c r="B106" s="14"/>
      <c r="C106" s="120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14"/>
      <c r="B107" s="14"/>
      <c r="C107" s="120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14"/>
      <c r="B108" s="14"/>
      <c r="C108" s="120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14"/>
      <c r="B109" s="14"/>
      <c r="C109" s="120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14"/>
      <c r="B110" s="14"/>
      <c r="C110" s="120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4"/>
      <c r="B111" s="14"/>
      <c r="C111" s="120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4"/>
      <c r="B112" s="14"/>
      <c r="C112" s="120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4"/>
      <c r="B113" s="14"/>
      <c r="C113" s="120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4"/>
      <c r="B114" s="14"/>
      <c r="C114" s="120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4"/>
      <c r="B115" s="14"/>
      <c r="C115" s="120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4"/>
      <c r="B116" s="14"/>
      <c r="C116" s="120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4"/>
      <c r="B117" s="14"/>
      <c r="C117" s="120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4"/>
      <c r="B118" s="14"/>
      <c r="C118" s="120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4"/>
      <c r="B119" s="14"/>
      <c r="C119" s="120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4"/>
      <c r="B120" s="14"/>
      <c r="C120" s="120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4"/>
      <c r="B121" s="14"/>
      <c r="C121" s="120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4"/>
      <c r="B122" s="14"/>
      <c r="C122" s="120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4"/>
      <c r="B123" s="14"/>
      <c r="C123" s="120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4"/>
      <c r="B124" s="14"/>
      <c r="C124" s="120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4"/>
      <c r="B125" s="14"/>
      <c r="C125" s="120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4"/>
      <c r="B126" s="14"/>
      <c r="C126" s="120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4"/>
      <c r="B127" s="14"/>
      <c r="C127" s="120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4"/>
      <c r="B128" s="14"/>
      <c r="C128" s="120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4"/>
      <c r="B129" s="14"/>
      <c r="C129" s="120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4"/>
      <c r="B130" s="14"/>
      <c r="C130" s="120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4"/>
      <c r="B131" s="14"/>
      <c r="C131" s="120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4"/>
      <c r="B132" s="14"/>
      <c r="C132" s="120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4"/>
      <c r="B133" s="14"/>
      <c r="C133" s="120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4"/>
      <c r="B134" s="14"/>
      <c r="C134" s="120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4"/>
      <c r="B135" s="14"/>
      <c r="C135" s="120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4"/>
      <c r="B136" s="14"/>
      <c r="C136" s="120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4"/>
      <c r="B137" s="14"/>
      <c r="C137" s="120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4"/>
      <c r="B138" s="14"/>
      <c r="C138" s="120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4"/>
      <c r="B139" s="14"/>
      <c r="C139" s="120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4"/>
      <c r="B140" s="14"/>
      <c r="C140" s="120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4"/>
      <c r="B141" s="14"/>
      <c r="C141" s="120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4"/>
      <c r="B142" s="14"/>
      <c r="C142" s="120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4"/>
      <c r="B143" s="14"/>
      <c r="C143" s="120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4"/>
      <c r="B144" s="14"/>
      <c r="C144" s="120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4"/>
      <c r="B145" s="14"/>
      <c r="C145" s="120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4"/>
      <c r="B146" s="14"/>
      <c r="C146" s="120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4"/>
      <c r="B147" s="14"/>
      <c r="C147" s="120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4"/>
      <c r="B148" s="14"/>
      <c r="C148" s="120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4"/>
      <c r="B149" s="14"/>
      <c r="C149" s="120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4"/>
      <c r="B150" s="14"/>
      <c r="C150" s="120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4"/>
      <c r="B151" s="14"/>
      <c r="C151" s="120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4"/>
      <c r="B152" s="14"/>
      <c r="C152" s="120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4"/>
      <c r="B153" s="14"/>
      <c r="C153" s="120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4"/>
      <c r="B154" s="14"/>
      <c r="C154" s="120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4"/>
      <c r="B155" s="14"/>
      <c r="C155" s="120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4"/>
      <c r="B156" s="14"/>
      <c r="C156" s="120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4"/>
      <c r="B157" s="14"/>
      <c r="C157" s="120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4"/>
      <c r="B158" s="14"/>
      <c r="C158" s="120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4"/>
      <c r="B159" s="14"/>
      <c r="C159" s="120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4"/>
      <c r="B160" s="14"/>
      <c r="C160" s="120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4"/>
      <c r="B161" s="14"/>
      <c r="C161" s="120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4"/>
      <c r="B162" s="14"/>
      <c r="C162" s="120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4"/>
      <c r="B163" s="14"/>
      <c r="C163" s="120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4"/>
      <c r="B164" s="14"/>
      <c r="C164" s="120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4"/>
      <c r="B165" s="14"/>
      <c r="C165" s="120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4"/>
      <c r="B166" s="14"/>
      <c r="C166" s="120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4"/>
      <c r="B167" s="14"/>
      <c r="C167" s="120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4"/>
      <c r="B168" s="14"/>
      <c r="C168" s="120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4"/>
      <c r="B169" s="14"/>
      <c r="C169" s="120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4"/>
      <c r="B170" s="14"/>
      <c r="C170" s="120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4"/>
      <c r="B171" s="14"/>
      <c r="C171" s="120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4"/>
      <c r="B172" s="14"/>
      <c r="C172" s="120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4"/>
      <c r="B173" s="14"/>
      <c r="C173" s="120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4"/>
      <c r="B174" s="14"/>
      <c r="C174" s="120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4"/>
      <c r="B175" s="14"/>
      <c r="C175" s="120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4"/>
      <c r="B176" s="14"/>
      <c r="C176" s="120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4"/>
      <c r="B177" s="14"/>
      <c r="C177" s="120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4"/>
      <c r="B178" s="14"/>
      <c r="C178" s="120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4"/>
      <c r="B179" s="14"/>
      <c r="C179" s="120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4"/>
      <c r="B180" s="14"/>
      <c r="C180" s="120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4"/>
      <c r="B181" s="14"/>
      <c r="C181" s="120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4"/>
      <c r="B182" s="14"/>
      <c r="C182" s="120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4"/>
      <c r="B183" s="14"/>
      <c r="C183" s="120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4"/>
      <c r="B184" s="14"/>
      <c r="C184" s="120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4"/>
      <c r="B185" s="14"/>
      <c r="C185" s="120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4"/>
      <c r="B186" s="14"/>
      <c r="C186" s="120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4"/>
      <c r="B187" s="14"/>
      <c r="C187" s="120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4"/>
      <c r="B188" s="14"/>
      <c r="C188" s="120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4"/>
      <c r="B189" s="14"/>
      <c r="C189" s="120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4"/>
      <c r="B190" s="14"/>
      <c r="C190" s="120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4"/>
      <c r="B191" s="14"/>
      <c r="C191" s="120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4"/>
      <c r="B192" s="14"/>
      <c r="C192" s="120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4"/>
      <c r="B193" s="14"/>
      <c r="C193" s="120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4"/>
      <c r="B194" s="14"/>
      <c r="C194" s="120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4"/>
      <c r="B195" s="14"/>
      <c r="C195" s="120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4"/>
      <c r="B196" s="14"/>
      <c r="C196" s="120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4"/>
      <c r="B197" s="14"/>
      <c r="C197" s="120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4"/>
      <c r="B198" s="14"/>
      <c r="C198" s="120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4"/>
      <c r="B199" s="14"/>
      <c r="C199" s="120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4"/>
      <c r="B200" s="14"/>
      <c r="C200" s="120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4"/>
      <c r="B201" s="14"/>
      <c r="C201" s="120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4"/>
      <c r="B202" s="14"/>
      <c r="C202" s="120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4"/>
      <c r="B203" s="14"/>
      <c r="C203" s="120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4"/>
      <c r="B204" s="14"/>
      <c r="C204" s="120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4"/>
      <c r="B205" s="14"/>
      <c r="C205" s="120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4"/>
      <c r="B206" s="14"/>
      <c r="C206" s="120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4"/>
      <c r="B207" s="14"/>
      <c r="C207" s="120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4"/>
      <c r="B208" s="14"/>
      <c r="C208" s="120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4"/>
      <c r="B209" s="14"/>
      <c r="C209" s="120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4"/>
      <c r="B210" s="14"/>
      <c r="C210" s="120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4"/>
      <c r="B211" s="14"/>
      <c r="C211" s="120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4"/>
      <c r="B212" s="14"/>
      <c r="C212" s="120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4"/>
      <c r="B213" s="14"/>
      <c r="C213" s="120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4"/>
      <c r="B214" s="14"/>
      <c r="C214" s="120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4"/>
      <c r="B215" s="14"/>
      <c r="C215" s="120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4"/>
      <c r="B216" s="14"/>
      <c r="C216" s="120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4"/>
      <c r="B217" s="14"/>
      <c r="C217" s="120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4"/>
      <c r="B218" s="14"/>
      <c r="C218" s="120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4"/>
      <c r="B219" s="14"/>
      <c r="C219" s="120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4"/>
      <c r="B220" s="14"/>
      <c r="C220" s="120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4"/>
      <c r="B221" s="14"/>
      <c r="C221" s="120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4"/>
      <c r="B222" s="14"/>
      <c r="C222" s="120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4"/>
      <c r="B223" s="14"/>
      <c r="C223" s="120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4"/>
      <c r="B224" s="14"/>
      <c r="C224" s="120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4"/>
      <c r="B225" s="14"/>
      <c r="C225" s="120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4"/>
      <c r="B226" s="14"/>
      <c r="C226" s="120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4"/>
      <c r="B227" s="14"/>
      <c r="C227" s="120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4"/>
      <c r="B228" s="14"/>
      <c r="C228" s="120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4"/>
      <c r="B229" s="14"/>
      <c r="C229" s="120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4"/>
      <c r="B230" s="14"/>
      <c r="C230" s="120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4"/>
      <c r="B231" s="14"/>
      <c r="C231" s="120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4"/>
      <c r="B232" s="14"/>
      <c r="C232" s="120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4"/>
      <c r="B233" s="14"/>
      <c r="C233" s="120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4"/>
      <c r="B234" s="14"/>
      <c r="C234" s="120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4"/>
      <c r="B235" s="14"/>
      <c r="C235" s="120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4"/>
      <c r="B236" s="14"/>
      <c r="C236" s="120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4"/>
      <c r="B237" s="14"/>
      <c r="C237" s="120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4"/>
      <c r="B238" s="14"/>
      <c r="C238" s="120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4"/>
      <c r="B239" s="14"/>
      <c r="C239" s="120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4"/>
      <c r="B240" s="14"/>
      <c r="C240" s="120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4"/>
      <c r="B241" s="14"/>
      <c r="C241" s="120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4"/>
      <c r="B242" s="14"/>
      <c r="C242" s="120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4"/>
      <c r="B243" s="14"/>
      <c r="C243" s="120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4"/>
      <c r="B244" s="14"/>
      <c r="C244" s="120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4"/>
      <c r="B245" s="14"/>
      <c r="C245" s="120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4"/>
      <c r="B246" s="14"/>
      <c r="C246" s="120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4"/>
      <c r="B247" s="14"/>
      <c r="C247" s="120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4"/>
      <c r="B248" s="14"/>
      <c r="C248" s="120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4"/>
      <c r="B249" s="14"/>
      <c r="C249" s="120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4"/>
      <c r="B250" s="14"/>
      <c r="C250" s="120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4"/>
      <c r="B251" s="14"/>
      <c r="C251" s="120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4"/>
      <c r="B252" s="14"/>
      <c r="C252" s="120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4"/>
      <c r="B253" s="14"/>
      <c r="C253" s="120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4"/>
      <c r="B254" s="14"/>
      <c r="C254" s="120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4"/>
      <c r="B255" s="14"/>
      <c r="C255" s="120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4"/>
      <c r="B256" s="14"/>
      <c r="C256" s="120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4"/>
      <c r="B257" s="14"/>
      <c r="C257" s="120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4"/>
      <c r="B258" s="14"/>
      <c r="C258" s="120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4"/>
      <c r="B259" s="14"/>
      <c r="C259" s="120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4"/>
      <c r="B260" s="14"/>
      <c r="C260" s="120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4"/>
      <c r="B261" s="14"/>
      <c r="C261" s="120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4"/>
      <c r="B262" s="14"/>
      <c r="C262" s="120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4"/>
      <c r="B263" s="14"/>
      <c r="C263" s="120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4"/>
      <c r="B264" s="14"/>
      <c r="C264" s="120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4"/>
      <c r="B265" s="14"/>
      <c r="C265" s="120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4"/>
      <c r="B266" s="14"/>
      <c r="C266" s="120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4"/>
      <c r="B267" s="14"/>
      <c r="C267" s="120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4"/>
      <c r="B268" s="14"/>
      <c r="C268" s="120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4"/>
      <c r="B269" s="14"/>
      <c r="C269" s="120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4"/>
      <c r="B270" s="14"/>
      <c r="C270" s="120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4"/>
      <c r="B271" s="14"/>
      <c r="C271" s="120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4"/>
      <c r="B272" s="14"/>
      <c r="C272" s="120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4"/>
      <c r="B273" s="14"/>
      <c r="C273" s="120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4"/>
      <c r="B274" s="14"/>
      <c r="C274" s="120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4"/>
      <c r="B275" s="14"/>
      <c r="C275" s="120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4"/>
      <c r="B276" s="14"/>
      <c r="C276" s="120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4"/>
      <c r="B277" s="14"/>
      <c r="C277" s="120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4"/>
      <c r="B278" s="14"/>
      <c r="C278" s="120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4"/>
      <c r="B279" s="14"/>
      <c r="C279" s="120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4"/>
      <c r="B280" s="14"/>
      <c r="C280" s="120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4"/>
      <c r="B281" s="14"/>
      <c r="C281" s="120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4"/>
      <c r="B282" s="14"/>
      <c r="C282" s="120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4"/>
      <c r="B283" s="14"/>
      <c r="C283" s="120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4"/>
      <c r="B284" s="14"/>
      <c r="C284" s="120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4"/>
      <c r="B285" s="14"/>
      <c r="C285" s="120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4"/>
      <c r="B286" s="14"/>
      <c r="C286" s="120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4"/>
      <c r="B287" s="14"/>
      <c r="C287" s="120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4"/>
      <c r="B288" s="14"/>
      <c r="C288" s="120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4"/>
      <c r="B289" s="14"/>
      <c r="C289" s="120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4"/>
      <c r="B290" s="14"/>
      <c r="C290" s="120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4"/>
      <c r="B291" s="14"/>
      <c r="C291" s="120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4"/>
      <c r="B292" s="14"/>
      <c r="C292" s="120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4"/>
      <c r="B293" s="14"/>
      <c r="C293" s="120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4"/>
      <c r="B294" s="14"/>
      <c r="C294" s="120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4"/>
      <c r="B295" s="14"/>
      <c r="C295" s="120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4"/>
      <c r="B296" s="14"/>
      <c r="C296" s="120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4"/>
      <c r="B297" s="14"/>
      <c r="C297" s="120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4"/>
      <c r="B298" s="14"/>
      <c r="C298" s="120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4"/>
      <c r="B299" s="14"/>
      <c r="C299" s="120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4"/>
      <c r="B300" s="14"/>
      <c r="C300" s="120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4"/>
      <c r="B301" s="14"/>
      <c r="C301" s="120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4"/>
      <c r="B302" s="14"/>
      <c r="C302" s="120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4"/>
      <c r="B303" s="14"/>
      <c r="C303" s="120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4"/>
      <c r="B304" s="14"/>
      <c r="C304" s="120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4"/>
      <c r="B305" s="14"/>
      <c r="C305" s="120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4"/>
      <c r="B306" s="14"/>
      <c r="C306" s="120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4"/>
      <c r="B307" s="14"/>
      <c r="C307" s="120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4"/>
      <c r="B308" s="14"/>
      <c r="C308" s="120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4"/>
      <c r="B309" s="14"/>
      <c r="C309" s="120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4"/>
      <c r="B310" s="14"/>
      <c r="C310" s="120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4"/>
      <c r="B311" s="14"/>
      <c r="C311" s="120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4"/>
      <c r="B312" s="14"/>
      <c r="C312" s="120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4"/>
      <c r="B313" s="14"/>
      <c r="C313" s="120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4"/>
      <c r="B314" s="14"/>
      <c r="C314" s="120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4"/>
      <c r="B315" s="14"/>
      <c r="C315" s="120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4"/>
      <c r="B316" s="14"/>
      <c r="C316" s="120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4"/>
      <c r="B317" s="14"/>
      <c r="C317" s="120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4"/>
      <c r="B318" s="14"/>
      <c r="C318" s="120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4"/>
      <c r="B319" s="14"/>
      <c r="C319" s="120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4"/>
      <c r="B320" s="14"/>
      <c r="C320" s="120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4"/>
      <c r="B321" s="14"/>
      <c r="C321" s="120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4"/>
      <c r="B322" s="14"/>
      <c r="C322" s="120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4"/>
      <c r="B323" s="14"/>
      <c r="C323" s="120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4"/>
      <c r="B324" s="14"/>
      <c r="C324" s="120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4"/>
      <c r="B325" s="14"/>
      <c r="C325" s="120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4"/>
      <c r="B326" s="14"/>
      <c r="C326" s="120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4"/>
      <c r="B327" s="14"/>
      <c r="C327" s="120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4"/>
      <c r="B328" s="14"/>
      <c r="C328" s="120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4"/>
      <c r="B329" s="14"/>
      <c r="C329" s="120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4"/>
      <c r="B330" s="14"/>
      <c r="C330" s="120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4"/>
      <c r="B331" s="14"/>
      <c r="C331" s="120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4"/>
      <c r="B332" s="14"/>
      <c r="C332" s="120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4"/>
      <c r="B333" s="14"/>
      <c r="C333" s="120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4"/>
      <c r="B334" s="14"/>
      <c r="C334" s="120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4"/>
      <c r="B335" s="14"/>
      <c r="C335" s="120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4"/>
      <c r="B336" s="14"/>
      <c r="C336" s="120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4"/>
      <c r="B337" s="14"/>
      <c r="C337" s="120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4"/>
      <c r="B338" s="14"/>
      <c r="C338" s="120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4"/>
      <c r="B339" s="14"/>
      <c r="C339" s="120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4"/>
      <c r="B340" s="14"/>
      <c r="C340" s="120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4"/>
      <c r="B341" s="14"/>
      <c r="C341" s="120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4"/>
      <c r="B342" s="14"/>
      <c r="C342" s="120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4"/>
      <c r="B343" s="14"/>
      <c r="C343" s="120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4"/>
      <c r="B344" s="14"/>
      <c r="C344" s="120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4"/>
      <c r="B345" s="14"/>
      <c r="C345" s="120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4"/>
      <c r="B346" s="14"/>
      <c r="C346" s="120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4"/>
      <c r="B347" s="14"/>
      <c r="C347" s="120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4"/>
      <c r="B348" s="14"/>
      <c r="C348" s="120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4"/>
      <c r="B349" s="14"/>
      <c r="C349" s="120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4"/>
      <c r="B350" s="14"/>
      <c r="C350" s="120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4"/>
      <c r="B351" s="14"/>
      <c r="C351" s="120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4"/>
      <c r="B352" s="14"/>
      <c r="C352" s="120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4"/>
      <c r="B353" s="14"/>
      <c r="C353" s="120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4"/>
      <c r="B354" s="14"/>
      <c r="C354" s="120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4"/>
      <c r="B355" s="14"/>
      <c r="C355" s="120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4"/>
      <c r="B356" s="14"/>
      <c r="C356" s="120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4"/>
      <c r="B357" s="14"/>
      <c r="C357" s="120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4"/>
      <c r="B358" s="14"/>
      <c r="C358" s="120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4"/>
      <c r="B359" s="14"/>
      <c r="C359" s="120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4"/>
      <c r="B360" s="14"/>
      <c r="C360" s="120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4"/>
      <c r="B361" s="14"/>
      <c r="C361" s="120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4"/>
      <c r="B362" s="14"/>
      <c r="C362" s="120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4"/>
      <c r="B363" s="14"/>
      <c r="C363" s="120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4"/>
      <c r="B364" s="14"/>
      <c r="C364" s="120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4"/>
      <c r="B365" s="14"/>
      <c r="C365" s="120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4"/>
      <c r="B366" s="14"/>
      <c r="C366" s="120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4"/>
      <c r="B367" s="14"/>
      <c r="C367" s="120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4"/>
      <c r="B368" s="14"/>
      <c r="C368" s="120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4"/>
      <c r="B369" s="14"/>
      <c r="C369" s="120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4"/>
      <c r="B370" s="14"/>
      <c r="C370" s="120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4"/>
      <c r="B371" s="14"/>
      <c r="C371" s="120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4"/>
      <c r="B372" s="14"/>
      <c r="C372" s="120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4"/>
      <c r="B373" s="14"/>
      <c r="C373" s="120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4"/>
      <c r="B374" s="14"/>
      <c r="C374" s="120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4"/>
      <c r="B375" s="14"/>
      <c r="C375" s="120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4"/>
      <c r="B376" s="14"/>
      <c r="C376" s="120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4"/>
      <c r="B377" s="14"/>
      <c r="C377" s="120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4"/>
      <c r="B378" s="14"/>
      <c r="C378" s="120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4"/>
      <c r="B379" s="14"/>
      <c r="C379" s="120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4"/>
      <c r="B380" s="14"/>
      <c r="C380" s="120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4"/>
      <c r="B381" s="14"/>
      <c r="C381" s="120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4"/>
      <c r="B382" s="14"/>
      <c r="C382" s="120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4"/>
      <c r="B383" s="14"/>
      <c r="C383" s="120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4"/>
      <c r="B384" s="14"/>
      <c r="C384" s="120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4"/>
      <c r="B385" s="14"/>
      <c r="C385" s="120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4"/>
      <c r="B386" s="14"/>
      <c r="C386" s="120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4"/>
      <c r="B387" s="14"/>
      <c r="C387" s="120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4"/>
      <c r="B388" s="14"/>
      <c r="C388" s="120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4"/>
      <c r="B389" s="14"/>
      <c r="C389" s="120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4"/>
      <c r="B390" s="14"/>
      <c r="C390" s="120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4"/>
      <c r="B391" s="14"/>
      <c r="C391" s="120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4"/>
      <c r="B392" s="14"/>
      <c r="C392" s="120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4"/>
      <c r="B393" s="14"/>
      <c r="C393" s="120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4"/>
      <c r="B394" s="14"/>
      <c r="C394" s="120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4"/>
      <c r="B395" s="14"/>
      <c r="C395" s="120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4"/>
      <c r="B396" s="14"/>
      <c r="C396" s="120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4"/>
      <c r="B397" s="14"/>
      <c r="C397" s="120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4"/>
      <c r="B398" s="14"/>
      <c r="C398" s="120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4"/>
      <c r="B399" s="14"/>
      <c r="C399" s="120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4"/>
      <c r="B400" s="14"/>
      <c r="C400" s="120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4"/>
      <c r="B401" s="14"/>
      <c r="C401" s="120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4"/>
      <c r="B402" s="14"/>
      <c r="C402" s="120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4"/>
      <c r="B403" s="14"/>
      <c r="C403" s="120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4"/>
      <c r="B404" s="14"/>
      <c r="C404" s="120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4"/>
      <c r="B405" s="14"/>
      <c r="C405" s="120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4"/>
      <c r="B406" s="14"/>
      <c r="C406" s="120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4"/>
      <c r="B407" s="14"/>
      <c r="C407" s="120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4"/>
      <c r="B408" s="14"/>
      <c r="C408" s="120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4"/>
      <c r="B409" s="14"/>
      <c r="C409" s="120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4"/>
      <c r="B410" s="14"/>
      <c r="C410" s="120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4"/>
      <c r="B411" s="14"/>
      <c r="C411" s="120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4"/>
      <c r="B412" s="14"/>
      <c r="C412" s="120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4"/>
      <c r="B413" s="14"/>
      <c r="C413" s="120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4"/>
      <c r="B414" s="14"/>
      <c r="C414" s="120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4"/>
      <c r="B415" s="14"/>
      <c r="C415" s="120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4"/>
      <c r="B416" s="14"/>
      <c r="C416" s="120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4"/>
      <c r="B417" s="14"/>
      <c r="C417" s="120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4"/>
      <c r="B418" s="14"/>
      <c r="C418" s="120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4"/>
      <c r="B419" s="14"/>
      <c r="C419" s="120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4"/>
      <c r="B420" s="14"/>
      <c r="C420" s="120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4"/>
      <c r="B421" s="14"/>
      <c r="C421" s="120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4"/>
      <c r="B422" s="14"/>
      <c r="C422" s="120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4"/>
      <c r="B423" s="14"/>
      <c r="C423" s="120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4"/>
      <c r="B424" s="14"/>
      <c r="C424" s="120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4"/>
      <c r="B425" s="14"/>
      <c r="C425" s="120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4"/>
      <c r="B426" s="14"/>
      <c r="C426" s="120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4"/>
      <c r="B427" s="14"/>
      <c r="C427" s="120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4"/>
      <c r="B428" s="14"/>
      <c r="C428" s="120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4"/>
      <c r="B429" s="14"/>
      <c r="C429" s="120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4"/>
      <c r="B430" s="14"/>
      <c r="C430" s="120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4"/>
      <c r="B431" s="14"/>
      <c r="C431" s="120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4"/>
      <c r="B432" s="14"/>
      <c r="C432" s="120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4"/>
      <c r="B433" s="14"/>
      <c r="C433" s="120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4"/>
      <c r="B434" s="14"/>
      <c r="C434" s="120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4"/>
      <c r="B435" s="14"/>
      <c r="C435" s="120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4"/>
      <c r="B436" s="14"/>
      <c r="C436" s="120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4"/>
      <c r="B437" s="14"/>
      <c r="C437" s="120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4"/>
      <c r="B438" s="14"/>
      <c r="C438" s="120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4"/>
      <c r="B439" s="14"/>
      <c r="C439" s="120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4"/>
      <c r="B440" s="14"/>
      <c r="C440" s="120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4"/>
      <c r="B441" s="14"/>
      <c r="C441" s="120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4"/>
      <c r="B442" s="14"/>
      <c r="C442" s="120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4"/>
      <c r="B443" s="14"/>
      <c r="C443" s="120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4"/>
      <c r="B444" s="14"/>
      <c r="C444" s="120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4"/>
      <c r="B445" s="14"/>
      <c r="C445" s="120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4"/>
      <c r="B446" s="14"/>
      <c r="C446" s="120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4"/>
      <c r="B447" s="14"/>
      <c r="C447" s="120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4"/>
      <c r="B448" s="14"/>
      <c r="C448" s="120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4"/>
      <c r="B449" s="14"/>
      <c r="C449" s="120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4"/>
      <c r="B450" s="14"/>
      <c r="C450" s="120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4"/>
      <c r="B451" s="14"/>
      <c r="C451" s="120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4"/>
      <c r="B452" s="14"/>
      <c r="C452" s="120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4"/>
      <c r="B453" s="14"/>
      <c r="C453" s="120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4"/>
      <c r="B454" s="14"/>
      <c r="C454" s="120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4"/>
      <c r="B455" s="14"/>
      <c r="C455" s="120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4"/>
      <c r="B456" s="14"/>
      <c r="C456" s="120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4"/>
      <c r="B457" s="14"/>
      <c r="C457" s="120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4"/>
      <c r="B458" s="14"/>
      <c r="C458" s="120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4"/>
      <c r="B459" s="14"/>
      <c r="C459" s="120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4"/>
      <c r="B460" s="14"/>
      <c r="C460" s="120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4"/>
      <c r="B461" s="14"/>
      <c r="C461" s="120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4"/>
      <c r="B462" s="14"/>
      <c r="C462" s="120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4"/>
      <c r="B463" s="14"/>
      <c r="C463" s="120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4"/>
      <c r="B464" s="14"/>
      <c r="C464" s="120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4"/>
      <c r="B465" s="14"/>
      <c r="C465" s="120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4"/>
      <c r="B466" s="14"/>
      <c r="C466" s="120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4"/>
      <c r="B467" s="14"/>
      <c r="C467" s="120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4"/>
      <c r="B468" s="14"/>
      <c r="C468" s="120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4"/>
      <c r="B469" s="14"/>
      <c r="C469" s="120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4"/>
      <c r="B470" s="14"/>
      <c r="C470" s="120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4"/>
      <c r="B471" s="14"/>
      <c r="C471" s="120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4"/>
      <c r="B472" s="14"/>
      <c r="C472" s="120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4"/>
      <c r="B473" s="14"/>
      <c r="C473" s="120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4"/>
      <c r="B474" s="14"/>
      <c r="C474" s="120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4"/>
      <c r="B475" s="14"/>
      <c r="C475" s="120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4"/>
      <c r="B476" s="14"/>
      <c r="C476" s="120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4"/>
      <c r="B477" s="14"/>
      <c r="C477" s="120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4"/>
      <c r="B478" s="14"/>
      <c r="C478" s="120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4"/>
      <c r="B479" s="14"/>
      <c r="C479" s="120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4"/>
      <c r="B480" s="14"/>
      <c r="C480" s="120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4"/>
      <c r="B481" s="14"/>
      <c r="C481" s="120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4"/>
      <c r="B482" s="14"/>
      <c r="C482" s="120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4"/>
      <c r="B483" s="14"/>
      <c r="C483" s="120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4"/>
      <c r="B484" s="14"/>
      <c r="C484" s="120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4"/>
      <c r="B485" s="14"/>
      <c r="C485" s="120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4"/>
      <c r="B486" s="14"/>
      <c r="C486" s="120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4"/>
      <c r="B487" s="14"/>
      <c r="C487" s="120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4"/>
      <c r="B488" s="14"/>
      <c r="C488" s="120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4"/>
      <c r="B489" s="14"/>
      <c r="C489" s="120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4"/>
      <c r="B490" s="14"/>
      <c r="C490" s="120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4"/>
      <c r="B491" s="14"/>
      <c r="C491" s="120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4"/>
      <c r="B492" s="14"/>
      <c r="C492" s="120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4"/>
      <c r="B493" s="14"/>
      <c r="C493" s="120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4"/>
      <c r="B494" s="14"/>
      <c r="C494" s="120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4"/>
      <c r="B495" s="14"/>
      <c r="C495" s="120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4"/>
      <c r="B496" s="14"/>
      <c r="C496" s="120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4"/>
      <c r="B497" s="14"/>
      <c r="C497" s="120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4"/>
      <c r="B498" s="14"/>
      <c r="C498" s="120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4"/>
      <c r="B499" s="14"/>
      <c r="C499" s="120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4"/>
      <c r="B500" s="14"/>
      <c r="C500" s="120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4"/>
      <c r="B501" s="14"/>
      <c r="C501" s="120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4"/>
      <c r="B502" s="14"/>
      <c r="C502" s="120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4"/>
      <c r="B503" s="14"/>
      <c r="C503" s="120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4"/>
      <c r="B504" s="14"/>
      <c r="C504" s="120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4"/>
      <c r="B505" s="14"/>
      <c r="C505" s="120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4"/>
      <c r="B506" s="14"/>
      <c r="C506" s="120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4"/>
      <c r="B507" s="14"/>
      <c r="C507" s="120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4"/>
      <c r="B508" s="14"/>
      <c r="C508" s="120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4"/>
      <c r="B509" s="14"/>
      <c r="C509" s="120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4"/>
      <c r="B510" s="14"/>
      <c r="C510" s="120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4"/>
      <c r="B511" s="14"/>
      <c r="C511" s="120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4"/>
      <c r="B512" s="14"/>
      <c r="C512" s="120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4"/>
      <c r="B513" s="14"/>
      <c r="C513" s="120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4"/>
      <c r="B514" s="14"/>
      <c r="C514" s="120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4"/>
      <c r="B515" s="14"/>
      <c r="C515" s="120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4"/>
      <c r="B516" s="14"/>
      <c r="C516" s="120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4"/>
      <c r="B517" s="14"/>
      <c r="C517" s="120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4"/>
      <c r="B518" s="14"/>
      <c r="C518" s="120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4"/>
      <c r="B519" s="14"/>
      <c r="C519" s="120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4"/>
      <c r="B520" s="14"/>
      <c r="C520" s="120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4"/>
      <c r="B521" s="14"/>
      <c r="C521" s="120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4"/>
      <c r="B522" s="14"/>
      <c r="C522" s="120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4"/>
      <c r="B523" s="14"/>
      <c r="C523" s="120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4"/>
      <c r="B524" s="14"/>
      <c r="C524" s="120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4"/>
      <c r="B525" s="14"/>
      <c r="C525" s="120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4"/>
      <c r="B526" s="14"/>
      <c r="C526" s="120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4"/>
      <c r="B527" s="14"/>
      <c r="C527" s="120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4"/>
      <c r="B528" s="14"/>
      <c r="C528" s="120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4"/>
      <c r="B529" s="14"/>
      <c r="C529" s="120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4"/>
      <c r="B530" s="14"/>
      <c r="C530" s="120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4"/>
      <c r="B531" s="14"/>
      <c r="C531" s="120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4"/>
      <c r="B532" s="14"/>
      <c r="C532" s="120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4"/>
      <c r="B533" s="14"/>
      <c r="C533" s="120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4"/>
      <c r="B534" s="14"/>
      <c r="C534" s="120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4"/>
      <c r="B535" s="14"/>
      <c r="C535" s="120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4"/>
      <c r="B536" s="14"/>
      <c r="C536" s="120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4"/>
      <c r="B537" s="14"/>
      <c r="C537" s="120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4"/>
      <c r="B538" s="14"/>
      <c r="C538" s="120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4"/>
      <c r="B539" s="14"/>
      <c r="C539" s="120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4"/>
      <c r="B540" s="14"/>
      <c r="C540" s="120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4"/>
      <c r="B541" s="14"/>
      <c r="C541" s="120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4"/>
      <c r="B542" s="14"/>
      <c r="C542" s="120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4"/>
      <c r="B543" s="14"/>
      <c r="C543" s="120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4"/>
      <c r="B544" s="14"/>
      <c r="C544" s="120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4"/>
      <c r="B545" s="14"/>
      <c r="C545" s="120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4"/>
      <c r="B546" s="14"/>
      <c r="C546" s="120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4"/>
      <c r="B547" s="14"/>
      <c r="C547" s="120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4"/>
      <c r="B548" s="14"/>
      <c r="C548" s="120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4"/>
      <c r="B549" s="14"/>
      <c r="C549" s="120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4"/>
      <c r="B550" s="14"/>
      <c r="C550" s="120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4"/>
      <c r="B551" s="14"/>
      <c r="C551" s="120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4"/>
      <c r="B552" s="14"/>
      <c r="C552" s="120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4"/>
      <c r="B553" s="14"/>
      <c r="C553" s="120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4"/>
      <c r="B554" s="14"/>
      <c r="C554" s="120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4"/>
      <c r="B555" s="14"/>
      <c r="C555" s="120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4"/>
      <c r="B556" s="14"/>
      <c r="C556" s="120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4"/>
      <c r="B557" s="14"/>
      <c r="C557" s="120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4"/>
      <c r="B558" s="14"/>
      <c r="C558" s="120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4"/>
      <c r="B559" s="14"/>
      <c r="C559" s="120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4"/>
      <c r="B560" s="14"/>
      <c r="C560" s="120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4"/>
      <c r="B561" s="14"/>
      <c r="C561" s="120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4"/>
      <c r="B562" s="14"/>
      <c r="C562" s="120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4"/>
      <c r="B563" s="14"/>
      <c r="C563" s="120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4"/>
      <c r="B564" s="14"/>
      <c r="C564" s="120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4"/>
      <c r="B565" s="14"/>
      <c r="C565" s="120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4"/>
      <c r="B566" s="14"/>
      <c r="C566" s="120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4"/>
      <c r="B567" s="14"/>
      <c r="C567" s="120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4"/>
      <c r="B568" s="14"/>
      <c r="C568" s="120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4"/>
      <c r="B569" s="14"/>
      <c r="C569" s="120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4"/>
      <c r="B570" s="14"/>
      <c r="C570" s="120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4"/>
      <c r="B571" s="14"/>
      <c r="C571" s="120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4"/>
      <c r="B572" s="14"/>
      <c r="C572" s="120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4"/>
      <c r="B573" s="14"/>
      <c r="C573" s="120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4"/>
      <c r="B574" s="14"/>
      <c r="C574" s="120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4"/>
      <c r="B575" s="14"/>
      <c r="C575" s="120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4"/>
      <c r="B576" s="14"/>
      <c r="C576" s="120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4"/>
      <c r="B577" s="14"/>
      <c r="C577" s="120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4"/>
      <c r="B578" s="14"/>
      <c r="C578" s="120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4"/>
      <c r="B579" s="14"/>
      <c r="C579" s="120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4"/>
      <c r="B580" s="14"/>
      <c r="C580" s="120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4"/>
      <c r="B581" s="14"/>
      <c r="C581" s="120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4"/>
      <c r="B582" s="14"/>
      <c r="C582" s="120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4"/>
      <c r="B583" s="14"/>
      <c r="C583" s="120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4"/>
      <c r="B584" s="14"/>
      <c r="C584" s="120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4"/>
      <c r="B585" s="14"/>
      <c r="C585" s="120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4"/>
      <c r="B586" s="14"/>
      <c r="C586" s="120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4"/>
      <c r="B587" s="14"/>
      <c r="C587" s="120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4"/>
      <c r="B588" s="14"/>
      <c r="C588" s="120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4"/>
      <c r="B589" s="14"/>
      <c r="C589" s="120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4"/>
      <c r="B590" s="14"/>
      <c r="C590" s="120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4"/>
      <c r="B591" s="14"/>
      <c r="C591" s="120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4"/>
      <c r="B592" s="14"/>
      <c r="C592" s="120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4"/>
      <c r="B593" s="14"/>
      <c r="C593" s="120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4"/>
      <c r="B594" s="14"/>
      <c r="C594" s="120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4"/>
      <c r="B595" s="14"/>
      <c r="C595" s="120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4"/>
      <c r="B596" s="14"/>
      <c r="C596" s="120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4"/>
      <c r="B597" s="14"/>
      <c r="C597" s="120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4"/>
      <c r="B598" s="14"/>
      <c r="C598" s="120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4"/>
      <c r="B599" s="14"/>
      <c r="C599" s="120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4"/>
      <c r="B600" s="14"/>
      <c r="C600" s="120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4"/>
      <c r="B601" s="14"/>
      <c r="C601" s="120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4"/>
      <c r="B602" s="14"/>
      <c r="C602" s="120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4"/>
      <c r="B603" s="14"/>
      <c r="C603" s="120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4"/>
      <c r="B604" s="14"/>
      <c r="C604" s="120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4"/>
      <c r="B605" s="14"/>
      <c r="C605" s="120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4"/>
      <c r="B606" s="14"/>
      <c r="C606" s="120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4"/>
      <c r="B607" s="14"/>
      <c r="C607" s="120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4"/>
      <c r="B608" s="14"/>
      <c r="C608" s="120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4"/>
      <c r="B609" s="14"/>
      <c r="C609" s="120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4"/>
      <c r="B610" s="14"/>
      <c r="C610" s="120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4"/>
      <c r="B611" s="14"/>
      <c r="C611" s="120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4"/>
      <c r="B612" s="14"/>
      <c r="C612" s="120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4"/>
      <c r="B613" s="14"/>
      <c r="C613" s="120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4"/>
      <c r="B614" s="14"/>
      <c r="C614" s="120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4"/>
      <c r="B615" s="14"/>
      <c r="C615" s="120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4"/>
      <c r="B616" s="14"/>
      <c r="C616" s="120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4"/>
      <c r="B617" s="14"/>
      <c r="C617" s="120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4"/>
      <c r="B618" s="14"/>
      <c r="C618" s="120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4"/>
      <c r="B619" s="14"/>
      <c r="C619" s="120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4"/>
      <c r="B620" s="14"/>
      <c r="C620" s="120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4"/>
      <c r="B621" s="14"/>
      <c r="C621" s="120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4"/>
      <c r="B622" s="14"/>
      <c r="C622" s="120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4"/>
      <c r="B623" s="14"/>
      <c r="C623" s="120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4"/>
      <c r="B624" s="14"/>
      <c r="C624" s="120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4"/>
      <c r="B625" s="14"/>
      <c r="C625" s="120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4"/>
      <c r="B626" s="14"/>
      <c r="C626" s="120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4"/>
      <c r="B627" s="14"/>
      <c r="C627" s="120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4"/>
      <c r="B628" s="14"/>
      <c r="C628" s="120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4"/>
      <c r="B629" s="14"/>
      <c r="C629" s="120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4"/>
      <c r="B630" s="14"/>
      <c r="C630" s="120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4"/>
      <c r="B631" s="14"/>
      <c r="C631" s="120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4"/>
      <c r="B632" s="14"/>
      <c r="C632" s="120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4"/>
      <c r="B633" s="14"/>
      <c r="C633" s="120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4"/>
      <c r="B634" s="14"/>
      <c r="C634" s="120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4"/>
      <c r="B635" s="14"/>
      <c r="C635" s="120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4"/>
      <c r="B636" s="14"/>
      <c r="C636" s="120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4"/>
      <c r="B637" s="14"/>
      <c r="C637" s="120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4"/>
      <c r="B638" s="14"/>
      <c r="C638" s="120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4"/>
      <c r="B639" s="14"/>
      <c r="C639" s="120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4"/>
      <c r="B640" s="14"/>
      <c r="C640" s="120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4"/>
      <c r="B641" s="14"/>
      <c r="C641" s="120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4"/>
      <c r="B642" s="14"/>
      <c r="C642" s="120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4"/>
      <c r="B643" s="14"/>
      <c r="C643" s="120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4"/>
      <c r="B644" s="14"/>
      <c r="C644" s="120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4"/>
      <c r="B645" s="14"/>
      <c r="C645" s="120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4"/>
      <c r="B646" s="14"/>
      <c r="C646" s="120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4"/>
      <c r="B647" s="14"/>
      <c r="C647" s="120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4"/>
      <c r="B648" s="14"/>
      <c r="C648" s="120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4"/>
      <c r="B649" s="14"/>
      <c r="C649" s="120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4"/>
      <c r="B650" s="14"/>
      <c r="C650" s="120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4"/>
      <c r="B651" s="14"/>
      <c r="C651" s="120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4"/>
      <c r="B652" s="14"/>
      <c r="C652" s="120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4"/>
      <c r="B653" s="14"/>
      <c r="C653" s="120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4"/>
      <c r="B654" s="14"/>
      <c r="C654" s="120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4"/>
      <c r="B655" s="14"/>
      <c r="C655" s="120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4"/>
      <c r="B656" s="14"/>
      <c r="C656" s="120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4"/>
      <c r="B657" s="14"/>
      <c r="C657" s="120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4"/>
      <c r="B658" s="14"/>
      <c r="C658" s="120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4"/>
      <c r="B659" s="14"/>
      <c r="C659" s="120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4"/>
      <c r="B660" s="14"/>
      <c r="C660" s="120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4"/>
      <c r="B661" s="14"/>
      <c r="C661" s="120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4"/>
      <c r="B662" s="14"/>
      <c r="C662" s="120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4"/>
      <c r="B663" s="14"/>
      <c r="C663" s="120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4"/>
      <c r="B664" s="14"/>
      <c r="C664" s="120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4"/>
      <c r="B665" s="14"/>
      <c r="C665" s="120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4"/>
      <c r="B666" s="14"/>
      <c r="C666" s="120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4"/>
      <c r="B667" s="14"/>
      <c r="C667" s="120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4"/>
      <c r="B668" s="14"/>
      <c r="C668" s="120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4"/>
      <c r="B669" s="14"/>
      <c r="C669" s="120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4"/>
      <c r="B670" s="14"/>
      <c r="C670" s="120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4"/>
      <c r="B671" s="14"/>
      <c r="C671" s="120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4"/>
      <c r="B672" s="14"/>
      <c r="C672" s="120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4"/>
      <c r="B673" s="14"/>
      <c r="C673" s="120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4"/>
      <c r="B674" s="14"/>
      <c r="C674" s="120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4"/>
      <c r="B675" s="14"/>
      <c r="C675" s="120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4"/>
      <c r="B676" s="14"/>
      <c r="C676" s="120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4"/>
      <c r="B677" s="14"/>
      <c r="C677" s="120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4"/>
      <c r="B678" s="14"/>
      <c r="C678" s="120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4"/>
      <c r="B679" s="14"/>
      <c r="C679" s="120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4"/>
      <c r="B680" s="14"/>
      <c r="C680" s="120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4"/>
      <c r="B681" s="14"/>
      <c r="C681" s="120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4"/>
      <c r="B682" s="14"/>
      <c r="C682" s="120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4"/>
      <c r="B683" s="14"/>
      <c r="C683" s="120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4"/>
      <c r="B684" s="14"/>
      <c r="C684" s="120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4"/>
      <c r="B685" s="14"/>
      <c r="C685" s="120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4"/>
      <c r="B686" s="14"/>
      <c r="C686" s="120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4"/>
      <c r="B687" s="14"/>
      <c r="C687" s="120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4"/>
      <c r="B688" s="14"/>
      <c r="C688" s="120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4"/>
      <c r="B689" s="14"/>
      <c r="C689" s="120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4"/>
      <c r="B690" s="14"/>
      <c r="C690" s="120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4"/>
      <c r="B691" s="14"/>
      <c r="C691" s="120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4"/>
      <c r="B692" s="14"/>
      <c r="C692" s="120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4"/>
      <c r="B693" s="14"/>
      <c r="C693" s="120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4"/>
      <c r="B694" s="14"/>
      <c r="C694" s="120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4"/>
      <c r="B695" s="14"/>
      <c r="C695" s="120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4"/>
      <c r="B696" s="14"/>
      <c r="C696" s="120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4"/>
      <c r="B697" s="14"/>
      <c r="C697" s="120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4"/>
      <c r="B698" s="14"/>
      <c r="C698" s="120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4"/>
      <c r="B699" s="14"/>
      <c r="C699" s="120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4"/>
      <c r="B700" s="14"/>
      <c r="C700" s="120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4"/>
      <c r="B701" s="14"/>
      <c r="C701" s="120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4"/>
      <c r="B702" s="14"/>
      <c r="C702" s="120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4"/>
      <c r="B703" s="14"/>
      <c r="C703" s="120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4"/>
      <c r="B704" s="14"/>
      <c r="C704" s="120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4"/>
      <c r="B705" s="14"/>
      <c r="C705" s="120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4"/>
      <c r="B706" s="14"/>
      <c r="C706" s="120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4"/>
      <c r="B707" s="14"/>
      <c r="C707" s="120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4"/>
      <c r="B708" s="14"/>
      <c r="C708" s="120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4"/>
      <c r="B709" s="14"/>
      <c r="C709" s="120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4"/>
      <c r="B710" s="14"/>
      <c r="C710" s="120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4"/>
      <c r="B711" s="14"/>
      <c r="C711" s="120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4"/>
      <c r="B712" s="14"/>
      <c r="C712" s="120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4"/>
      <c r="B713" s="14"/>
      <c r="C713" s="120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4"/>
      <c r="B714" s="14"/>
      <c r="C714" s="120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4"/>
      <c r="B715" s="14"/>
      <c r="C715" s="120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4"/>
      <c r="B716" s="14"/>
      <c r="C716" s="120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4"/>
      <c r="B717" s="14"/>
      <c r="C717" s="120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4"/>
      <c r="B718" s="14"/>
      <c r="C718" s="120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4"/>
      <c r="B719" s="14"/>
      <c r="C719" s="120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4"/>
      <c r="B720" s="14"/>
      <c r="C720" s="120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4"/>
      <c r="B721" s="14"/>
      <c r="C721" s="120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4"/>
      <c r="B722" s="14"/>
      <c r="C722" s="120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4"/>
      <c r="B723" s="14"/>
      <c r="C723" s="120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4"/>
      <c r="B724" s="14"/>
      <c r="C724" s="120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4"/>
      <c r="B725" s="14"/>
      <c r="C725" s="120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4"/>
      <c r="B726" s="14"/>
      <c r="C726" s="120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4"/>
      <c r="B727" s="14"/>
      <c r="C727" s="120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4"/>
      <c r="B728" s="14"/>
      <c r="C728" s="120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4"/>
      <c r="B729" s="14"/>
      <c r="C729" s="120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4"/>
      <c r="B730" s="14"/>
      <c r="C730" s="120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4"/>
      <c r="B731" s="14"/>
      <c r="C731" s="120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4"/>
      <c r="B732" s="14"/>
      <c r="C732" s="120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4"/>
      <c r="B733" s="14"/>
      <c r="C733" s="120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4"/>
      <c r="B734" s="14"/>
      <c r="C734" s="120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4"/>
      <c r="B735" s="14"/>
      <c r="C735" s="120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4"/>
      <c r="B736" s="14"/>
      <c r="C736" s="120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4"/>
      <c r="B737" s="14"/>
      <c r="C737" s="120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4"/>
      <c r="B738" s="14"/>
      <c r="C738" s="120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4"/>
      <c r="B739" s="14"/>
      <c r="C739" s="120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4"/>
      <c r="B740" s="14"/>
      <c r="C740" s="120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4"/>
      <c r="B741" s="14"/>
      <c r="C741" s="120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4"/>
      <c r="B742" s="14"/>
      <c r="C742" s="120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4"/>
      <c r="B743" s="14"/>
      <c r="C743" s="120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4"/>
      <c r="B744" s="14"/>
      <c r="C744" s="120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4"/>
      <c r="B745" s="14"/>
      <c r="C745" s="120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4"/>
      <c r="B746" s="14"/>
      <c r="C746" s="120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4"/>
      <c r="B747" s="14"/>
      <c r="C747" s="120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4"/>
      <c r="B748" s="14"/>
      <c r="C748" s="120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4"/>
      <c r="B749" s="14"/>
      <c r="C749" s="120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4"/>
      <c r="B750" s="14"/>
      <c r="C750" s="120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4"/>
      <c r="B751" s="14"/>
      <c r="C751" s="120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4"/>
      <c r="B752" s="14"/>
      <c r="C752" s="120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4"/>
      <c r="B753" s="14"/>
      <c r="C753" s="120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4"/>
      <c r="B754" s="14"/>
      <c r="C754" s="120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4"/>
      <c r="B755" s="14"/>
      <c r="C755" s="120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4"/>
      <c r="B756" s="14"/>
      <c r="C756" s="120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4"/>
      <c r="B757" s="14"/>
      <c r="C757" s="120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4"/>
      <c r="B758" s="14"/>
      <c r="C758" s="120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4"/>
      <c r="B759" s="14"/>
      <c r="C759" s="120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4"/>
      <c r="B760" s="14"/>
      <c r="C760" s="120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4"/>
      <c r="B761" s="14"/>
      <c r="C761" s="120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4"/>
      <c r="B762" s="14"/>
      <c r="C762" s="120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4"/>
      <c r="B763" s="14"/>
      <c r="C763" s="120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4"/>
      <c r="B764" s="14"/>
      <c r="C764" s="120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4"/>
      <c r="B765" s="14"/>
      <c r="C765" s="120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4"/>
      <c r="B766" s="14"/>
      <c r="C766" s="120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4"/>
      <c r="B767" s="14"/>
      <c r="C767" s="120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4"/>
      <c r="B768" s="14"/>
      <c r="C768" s="120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4"/>
      <c r="B769" s="14"/>
      <c r="C769" s="120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4"/>
      <c r="B770" s="14"/>
      <c r="C770" s="120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4"/>
      <c r="B771" s="14"/>
      <c r="C771" s="120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4"/>
      <c r="B772" s="14"/>
      <c r="C772" s="120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4"/>
      <c r="B773" s="14"/>
      <c r="C773" s="120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4"/>
      <c r="B774" s="14"/>
      <c r="C774" s="120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4"/>
      <c r="B775" s="14"/>
      <c r="C775" s="120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4"/>
      <c r="B776" s="14"/>
      <c r="C776" s="120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4"/>
      <c r="B777" s="14"/>
      <c r="C777" s="120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4"/>
      <c r="B778" s="14"/>
      <c r="C778" s="120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4"/>
      <c r="B779" s="14"/>
      <c r="C779" s="120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4"/>
      <c r="B780" s="14"/>
      <c r="C780" s="120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4"/>
      <c r="B781" s="14"/>
      <c r="C781" s="120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4"/>
      <c r="B782" s="14"/>
      <c r="C782" s="120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4"/>
      <c r="B783" s="14"/>
      <c r="C783" s="120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4"/>
      <c r="B784" s="14"/>
      <c r="C784" s="120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4"/>
      <c r="B785" s="14"/>
      <c r="C785" s="120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4"/>
      <c r="B786" s="14"/>
      <c r="C786" s="120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4"/>
      <c r="B787" s="14"/>
      <c r="C787" s="120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4"/>
      <c r="B788" s="14"/>
      <c r="C788" s="120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4"/>
      <c r="B789" s="14"/>
      <c r="C789" s="120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4"/>
      <c r="B790" s="14"/>
      <c r="C790" s="120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4"/>
      <c r="B791" s="14"/>
      <c r="C791" s="120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4"/>
      <c r="B792" s="14"/>
      <c r="C792" s="120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4"/>
      <c r="B793" s="14"/>
      <c r="C793" s="120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4"/>
      <c r="B794" s="14"/>
      <c r="C794" s="120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4"/>
      <c r="B795" s="14"/>
      <c r="C795" s="120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4"/>
      <c r="B796" s="14"/>
      <c r="C796" s="120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4"/>
      <c r="B797" s="14"/>
      <c r="C797" s="120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4"/>
      <c r="B798" s="14"/>
      <c r="C798" s="120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4"/>
      <c r="B799" s="14"/>
      <c r="C799" s="120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4"/>
      <c r="B800" s="14"/>
      <c r="C800" s="120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4"/>
      <c r="B801" s="14"/>
      <c r="C801" s="120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4"/>
      <c r="B802" s="14"/>
      <c r="C802" s="120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4"/>
      <c r="B803" s="14"/>
      <c r="C803" s="120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4"/>
      <c r="B804" s="14"/>
      <c r="C804" s="120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4"/>
      <c r="B805" s="14"/>
      <c r="C805" s="120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4"/>
      <c r="B806" s="14"/>
      <c r="C806" s="120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4"/>
      <c r="B807" s="14"/>
      <c r="C807" s="120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4"/>
      <c r="B808" s="14"/>
      <c r="C808" s="120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4"/>
      <c r="B809" s="14"/>
      <c r="C809" s="120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4"/>
      <c r="B810" s="14"/>
      <c r="C810" s="120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4"/>
      <c r="B811" s="14"/>
      <c r="C811" s="120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4"/>
      <c r="B812" s="14"/>
      <c r="C812" s="120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4"/>
      <c r="B813" s="14"/>
      <c r="C813" s="120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4"/>
      <c r="B814" s="14"/>
      <c r="C814" s="120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4"/>
      <c r="B815" s="14"/>
      <c r="C815" s="120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4"/>
      <c r="B816" s="14"/>
      <c r="C816" s="120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4"/>
      <c r="B817" s="14"/>
      <c r="C817" s="120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4"/>
      <c r="B818" s="14"/>
      <c r="C818" s="120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4"/>
      <c r="B819" s="14"/>
      <c r="C819" s="120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4"/>
      <c r="B820" s="14"/>
      <c r="C820" s="120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4"/>
      <c r="B821" s="14"/>
      <c r="C821" s="120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4"/>
      <c r="B822" s="14"/>
      <c r="C822" s="120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4"/>
      <c r="B823" s="14"/>
      <c r="C823" s="120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4"/>
      <c r="B824" s="14"/>
      <c r="C824" s="120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4"/>
      <c r="B825" s="14"/>
      <c r="C825" s="120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4"/>
      <c r="B826" s="14"/>
      <c r="C826" s="120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4"/>
      <c r="B827" s="14"/>
      <c r="C827" s="120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4"/>
      <c r="B828" s="14"/>
      <c r="C828" s="120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4"/>
      <c r="B829" s="14"/>
      <c r="C829" s="120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4"/>
      <c r="B830" s="14"/>
      <c r="C830" s="120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4"/>
      <c r="B831" s="14"/>
      <c r="C831" s="120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4"/>
      <c r="B832" s="14"/>
      <c r="C832" s="120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4"/>
      <c r="B833" s="14"/>
      <c r="C833" s="120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4"/>
      <c r="B834" s="14"/>
      <c r="C834" s="120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4"/>
      <c r="B835" s="14"/>
      <c r="C835" s="120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4"/>
      <c r="B836" s="14"/>
      <c r="C836" s="120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4"/>
      <c r="B837" s="14"/>
      <c r="C837" s="120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4"/>
      <c r="B838" s="14"/>
      <c r="C838" s="120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4"/>
      <c r="B839" s="14"/>
      <c r="C839" s="120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4"/>
      <c r="B840" s="14"/>
      <c r="C840" s="120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4"/>
      <c r="B841" s="14"/>
      <c r="C841" s="120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4"/>
      <c r="B842" s="14"/>
      <c r="C842" s="120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4"/>
      <c r="B843" s="14"/>
      <c r="C843" s="120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4"/>
      <c r="B844" s="14"/>
      <c r="C844" s="120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4"/>
      <c r="B845" s="14"/>
      <c r="C845" s="120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4"/>
      <c r="B846" s="14"/>
      <c r="C846" s="120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4"/>
      <c r="B847" s="14"/>
      <c r="C847" s="120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4"/>
      <c r="B848" s="14"/>
      <c r="C848" s="120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4"/>
      <c r="B849" s="14"/>
      <c r="C849" s="120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4"/>
      <c r="B850" s="14"/>
      <c r="C850" s="120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4"/>
      <c r="B851" s="14"/>
      <c r="C851" s="120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4"/>
      <c r="B852" s="14"/>
      <c r="C852" s="120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4"/>
      <c r="B853" s="14"/>
      <c r="C853" s="120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4"/>
      <c r="B854" s="14"/>
      <c r="C854" s="120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4"/>
      <c r="B855" s="14"/>
      <c r="C855" s="120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4"/>
      <c r="B856" s="14"/>
      <c r="C856" s="120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4"/>
      <c r="B857" s="14"/>
      <c r="C857" s="120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4"/>
      <c r="B858" s="14"/>
      <c r="C858" s="120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4"/>
      <c r="B859" s="14"/>
      <c r="C859" s="120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4"/>
      <c r="B860" s="14"/>
      <c r="C860" s="120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4"/>
      <c r="B861" s="14"/>
      <c r="C861" s="120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4"/>
      <c r="B862" s="14"/>
      <c r="C862" s="120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4"/>
      <c r="B863" s="14"/>
      <c r="C863" s="120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4"/>
      <c r="B864" s="14"/>
      <c r="C864" s="120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4"/>
      <c r="B865" s="14"/>
      <c r="C865" s="120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4"/>
      <c r="B866" s="14"/>
      <c r="C866" s="120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4"/>
      <c r="B867" s="14"/>
      <c r="C867" s="120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4"/>
      <c r="B868" s="14"/>
      <c r="C868" s="120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4"/>
      <c r="B869" s="14"/>
      <c r="C869" s="120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4"/>
      <c r="B870" s="14"/>
      <c r="C870" s="120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4"/>
      <c r="B871" s="14"/>
      <c r="C871" s="120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</sheetData>
  <mergeCells count="8">
    <mergeCell ref="A6:C6"/>
    <mergeCell ref="A15:C15"/>
    <mergeCell ref="A23:C23"/>
    <mergeCell ref="A31:C31"/>
    <mergeCell ref="A36:C36"/>
    <mergeCell ref="A44:C44"/>
    <mergeCell ref="A51:C51"/>
    <mergeCell ref="A57:C5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8.38"/>
    <col customWidth="1" min="3" max="3" width="37.5"/>
    <col customWidth="1" min="12" max="12" width="44.25"/>
  </cols>
  <sheetData>
    <row r="1" ht="41.25" customHeight="1">
      <c r="A1" s="1" t="s">
        <v>0</v>
      </c>
      <c r="B1" s="3" t="s">
        <v>2</v>
      </c>
      <c r="C1" s="6" t="s">
        <v>4</v>
      </c>
      <c r="D1" s="1" t="s">
        <v>5</v>
      </c>
      <c r="E1" s="3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3" t="s">
        <v>11</v>
      </c>
      <c r="K1" s="3" t="s">
        <v>12</v>
      </c>
      <c r="L1" s="1" t="s">
        <v>13</v>
      </c>
    </row>
    <row r="2" outlineLevel="1">
      <c r="A2" s="9">
        <v>1.0</v>
      </c>
      <c r="B2" s="10">
        <v>46045.0</v>
      </c>
      <c r="C2" s="12" t="s">
        <v>17</v>
      </c>
      <c r="D2" s="16">
        <v>143.0</v>
      </c>
      <c r="E2" s="16">
        <v>7.0</v>
      </c>
      <c r="F2" s="16">
        <v>0.0</v>
      </c>
      <c r="G2" s="16">
        <v>7.0</v>
      </c>
      <c r="H2" s="16">
        <v>5.0</v>
      </c>
      <c r="I2" s="23">
        <f>SUM(E2:H2)</f>
        <v>19</v>
      </c>
      <c r="J2" s="24">
        <f t="shared" ref="J2:J31" si="2">I2/D2</f>
        <v>0.1328671329</v>
      </c>
      <c r="K2" s="16">
        <v>1.0</v>
      </c>
      <c r="L2" s="26" t="s">
        <v>33</v>
      </c>
    </row>
    <row r="3" outlineLevel="1">
      <c r="A3" s="27" t="s">
        <v>36</v>
      </c>
      <c r="B3" s="15"/>
      <c r="C3" s="17"/>
      <c r="D3" s="30">
        <f t="shared" ref="D3:I3" si="1">sum(D2)</f>
        <v>143</v>
      </c>
      <c r="E3" s="30">
        <f t="shared" si="1"/>
        <v>7</v>
      </c>
      <c r="F3" s="30">
        <f t="shared" si="1"/>
        <v>0</v>
      </c>
      <c r="G3" s="30">
        <f t="shared" si="1"/>
        <v>7</v>
      </c>
      <c r="H3" s="30">
        <f t="shared" si="1"/>
        <v>5</v>
      </c>
      <c r="I3" s="30">
        <f t="shared" si="1"/>
        <v>19</v>
      </c>
      <c r="J3" s="34">
        <f t="shared" si="2"/>
        <v>0.1328671329</v>
      </c>
      <c r="K3" s="30">
        <f>sum(K2)</f>
        <v>1</v>
      </c>
      <c r="L3" s="36"/>
    </row>
    <row r="4" outlineLevel="1">
      <c r="A4" s="9">
        <v>1.0</v>
      </c>
      <c r="B4" s="10">
        <v>46058.0</v>
      </c>
      <c r="C4" s="12" t="s">
        <v>39</v>
      </c>
      <c r="D4" s="16">
        <v>98.0</v>
      </c>
      <c r="E4" s="16">
        <v>5.0</v>
      </c>
      <c r="F4" s="16">
        <v>1.0</v>
      </c>
      <c r="G4" s="16">
        <v>6.0</v>
      </c>
      <c r="H4" s="16">
        <v>8.0</v>
      </c>
      <c r="I4" s="23">
        <f t="shared" ref="I4:I7" si="3">SUM(E4:H4)</f>
        <v>20</v>
      </c>
      <c r="J4" s="24">
        <f t="shared" si="2"/>
        <v>0.2040816327</v>
      </c>
      <c r="K4" s="16">
        <v>0.0</v>
      </c>
      <c r="L4" s="26" t="s">
        <v>40</v>
      </c>
    </row>
    <row r="5" outlineLevel="1">
      <c r="A5" s="9">
        <v>2.0</v>
      </c>
      <c r="B5" s="10">
        <v>46065.0</v>
      </c>
      <c r="C5" s="12" t="s">
        <v>42</v>
      </c>
      <c r="D5" s="16">
        <v>443.0</v>
      </c>
      <c r="E5" s="16">
        <v>1.0</v>
      </c>
      <c r="F5" s="16">
        <v>0.0</v>
      </c>
      <c r="G5" s="16">
        <v>2.0</v>
      </c>
      <c r="H5" s="16">
        <v>13.0</v>
      </c>
      <c r="I5" s="23">
        <f t="shared" si="3"/>
        <v>16</v>
      </c>
      <c r="J5" s="24">
        <f t="shared" si="2"/>
        <v>0.03611738149</v>
      </c>
      <c r="K5" s="16">
        <v>1.0</v>
      </c>
      <c r="L5" s="26" t="s">
        <v>43</v>
      </c>
    </row>
    <row r="6" outlineLevel="1">
      <c r="A6" s="9">
        <v>3.0</v>
      </c>
      <c r="B6" s="10">
        <v>46070.0</v>
      </c>
      <c r="C6" s="12" t="s">
        <v>46</v>
      </c>
      <c r="D6" s="16">
        <v>156.0</v>
      </c>
      <c r="E6" s="16">
        <v>1.0</v>
      </c>
      <c r="F6" s="16">
        <v>0.0</v>
      </c>
      <c r="G6" s="16">
        <v>3.0</v>
      </c>
      <c r="H6" s="16">
        <v>1.0</v>
      </c>
      <c r="I6" s="23">
        <f t="shared" si="3"/>
        <v>5</v>
      </c>
      <c r="J6" s="24">
        <f t="shared" si="2"/>
        <v>0.03205128205</v>
      </c>
      <c r="K6" s="16">
        <v>0.0</v>
      </c>
      <c r="L6" s="26" t="s">
        <v>49</v>
      </c>
    </row>
    <row r="7" outlineLevel="1">
      <c r="A7" s="9">
        <v>4.0</v>
      </c>
      <c r="B7" s="10">
        <v>46080.0</v>
      </c>
      <c r="C7" s="12" t="s">
        <v>50</v>
      </c>
      <c r="D7" s="16">
        <v>112.0</v>
      </c>
      <c r="E7" s="16">
        <v>2.0</v>
      </c>
      <c r="F7" s="16">
        <v>0.0</v>
      </c>
      <c r="G7" s="16">
        <v>3.0</v>
      </c>
      <c r="H7" s="16">
        <v>1.0</v>
      </c>
      <c r="I7" s="23">
        <f t="shared" si="3"/>
        <v>6</v>
      </c>
      <c r="J7" s="24">
        <f t="shared" si="2"/>
        <v>0.05357142857</v>
      </c>
      <c r="K7" s="16">
        <v>0.0</v>
      </c>
      <c r="L7" s="26" t="s">
        <v>52</v>
      </c>
    </row>
    <row r="8" outlineLevel="1">
      <c r="A8" s="27" t="s">
        <v>54</v>
      </c>
      <c r="B8" s="15"/>
      <c r="C8" s="17"/>
      <c r="D8" s="30">
        <f t="shared" ref="D8:I8" si="4">sum(D4:D7)</f>
        <v>809</v>
      </c>
      <c r="E8" s="30">
        <f t="shared" si="4"/>
        <v>9</v>
      </c>
      <c r="F8" s="30">
        <f t="shared" si="4"/>
        <v>1</v>
      </c>
      <c r="G8" s="30">
        <f t="shared" si="4"/>
        <v>14</v>
      </c>
      <c r="H8" s="30">
        <f t="shared" si="4"/>
        <v>23</v>
      </c>
      <c r="I8" s="30">
        <f t="shared" si="4"/>
        <v>47</v>
      </c>
      <c r="J8" s="34">
        <f t="shared" si="2"/>
        <v>0.05809641533</v>
      </c>
      <c r="K8" s="30">
        <f>sum(K4:K7)</f>
        <v>1</v>
      </c>
      <c r="L8" s="36"/>
    </row>
    <row r="9" outlineLevel="1">
      <c r="A9" s="9">
        <v>1.0</v>
      </c>
      <c r="B9" s="10">
        <v>46087.0</v>
      </c>
      <c r="C9" s="12" t="s">
        <v>58</v>
      </c>
      <c r="D9" s="16">
        <v>513.0</v>
      </c>
      <c r="E9" s="16">
        <v>2.0</v>
      </c>
      <c r="F9" s="16">
        <v>0.0</v>
      </c>
      <c r="G9" s="16">
        <v>5.0</v>
      </c>
      <c r="H9" s="16">
        <v>12.0</v>
      </c>
      <c r="I9" s="23">
        <f>SUM(E9:H9)</f>
        <v>19</v>
      </c>
      <c r="J9" s="24">
        <f t="shared" si="2"/>
        <v>0.03703703704</v>
      </c>
      <c r="K9" s="16">
        <v>0.0</v>
      </c>
      <c r="L9" s="26" t="s">
        <v>59</v>
      </c>
    </row>
    <row r="10" outlineLevel="1">
      <c r="A10" s="27" t="s">
        <v>60</v>
      </c>
      <c r="B10" s="15"/>
      <c r="C10" s="17"/>
      <c r="D10" s="30">
        <f t="shared" ref="D10:I10" si="5">sum(D9)</f>
        <v>513</v>
      </c>
      <c r="E10" s="30">
        <f t="shared" si="5"/>
        <v>2</v>
      </c>
      <c r="F10" s="30">
        <f t="shared" si="5"/>
        <v>0</v>
      </c>
      <c r="G10" s="30">
        <f t="shared" si="5"/>
        <v>5</v>
      </c>
      <c r="H10" s="30">
        <f t="shared" si="5"/>
        <v>12</v>
      </c>
      <c r="I10" s="30">
        <f t="shared" si="5"/>
        <v>19</v>
      </c>
      <c r="J10" s="34">
        <f t="shared" si="2"/>
        <v>0.03703703704</v>
      </c>
      <c r="K10" s="30">
        <f>sum(K9)</f>
        <v>0</v>
      </c>
      <c r="L10" s="36"/>
    </row>
    <row r="11" outlineLevel="1">
      <c r="A11" s="50">
        <v>1.0</v>
      </c>
      <c r="B11" s="51">
        <v>46114.0</v>
      </c>
      <c r="C11" s="53" t="s">
        <v>64</v>
      </c>
      <c r="D11" s="50">
        <v>284.0</v>
      </c>
      <c r="E11" s="50">
        <v>2.0</v>
      </c>
      <c r="F11" s="50">
        <v>0.0</v>
      </c>
      <c r="G11" s="50">
        <v>9.0</v>
      </c>
      <c r="H11" s="50">
        <v>20.0</v>
      </c>
      <c r="I11" s="54">
        <f t="shared" ref="I11:I14" si="6">SUM(E11:H11)</f>
        <v>31</v>
      </c>
      <c r="J11" s="56">
        <f t="shared" si="2"/>
        <v>0.1091549296</v>
      </c>
      <c r="K11" s="50">
        <v>1.0</v>
      </c>
      <c r="L11" s="60" t="s">
        <v>66</v>
      </c>
    </row>
    <row r="12" outlineLevel="1">
      <c r="A12" s="50">
        <v>2.0</v>
      </c>
      <c r="B12" s="51">
        <v>46122.0</v>
      </c>
      <c r="C12" s="53" t="s">
        <v>69</v>
      </c>
      <c r="D12" s="50">
        <v>409.0</v>
      </c>
      <c r="E12" s="50">
        <v>2.0</v>
      </c>
      <c r="F12" s="50">
        <v>0.0</v>
      </c>
      <c r="G12" s="50">
        <v>2.0</v>
      </c>
      <c r="H12" s="50">
        <v>16.0</v>
      </c>
      <c r="I12" s="54">
        <f t="shared" si="6"/>
        <v>20</v>
      </c>
      <c r="J12" s="56">
        <f t="shared" si="2"/>
        <v>0.0488997555</v>
      </c>
      <c r="K12" s="50">
        <v>0.0</v>
      </c>
      <c r="L12" s="62" t="s">
        <v>72</v>
      </c>
    </row>
    <row r="13" outlineLevel="1">
      <c r="A13" s="50">
        <v>3.0</v>
      </c>
      <c r="B13" s="51">
        <v>46129.0</v>
      </c>
      <c r="C13" s="53" t="s">
        <v>74</v>
      </c>
      <c r="D13" s="50">
        <v>232.0</v>
      </c>
      <c r="E13" s="50">
        <v>2.0</v>
      </c>
      <c r="F13" s="50">
        <v>0.0</v>
      </c>
      <c r="G13" s="50">
        <v>3.0</v>
      </c>
      <c r="H13" s="50">
        <v>2.0</v>
      </c>
      <c r="I13" s="54">
        <f t="shared" si="6"/>
        <v>7</v>
      </c>
      <c r="J13" s="56">
        <f t="shared" si="2"/>
        <v>0.03017241379</v>
      </c>
      <c r="K13" s="50">
        <v>0.0</v>
      </c>
      <c r="L13" s="62" t="s">
        <v>76</v>
      </c>
    </row>
    <row r="14" outlineLevel="1">
      <c r="A14" s="50">
        <v>4.0</v>
      </c>
      <c r="B14" s="51">
        <v>46142.0</v>
      </c>
      <c r="C14" s="53" t="s">
        <v>77</v>
      </c>
      <c r="D14" s="50">
        <v>164.0</v>
      </c>
      <c r="E14" s="50">
        <v>1.0</v>
      </c>
      <c r="F14" s="50">
        <v>0.0</v>
      </c>
      <c r="G14" s="50">
        <v>1.0</v>
      </c>
      <c r="H14" s="50">
        <v>5.0</v>
      </c>
      <c r="I14" s="54">
        <f t="shared" si="6"/>
        <v>7</v>
      </c>
      <c r="J14" s="56">
        <f t="shared" si="2"/>
        <v>0.04268292683</v>
      </c>
      <c r="K14" s="50">
        <v>1.0</v>
      </c>
      <c r="L14" s="62" t="s">
        <v>78</v>
      </c>
    </row>
    <row r="15" outlineLevel="1">
      <c r="A15" s="70" t="s">
        <v>80</v>
      </c>
      <c r="B15" s="15"/>
      <c r="C15" s="17"/>
      <c r="D15" s="72">
        <f t="shared" ref="D15:I15" si="7">SUM(D11:D14)</f>
        <v>1089</v>
      </c>
      <c r="E15" s="74">
        <f t="shared" si="7"/>
        <v>7</v>
      </c>
      <c r="F15" s="74">
        <f t="shared" si="7"/>
        <v>0</v>
      </c>
      <c r="G15" s="74">
        <f t="shared" si="7"/>
        <v>15</v>
      </c>
      <c r="H15" s="74">
        <f t="shared" si="7"/>
        <v>43</v>
      </c>
      <c r="I15" s="74">
        <f t="shared" si="7"/>
        <v>65</v>
      </c>
      <c r="J15" s="75">
        <f t="shared" si="2"/>
        <v>0.05968778696</v>
      </c>
      <c r="K15" s="74">
        <f>SUM(K11:K14)</f>
        <v>2</v>
      </c>
      <c r="L15" s="76"/>
    </row>
    <row r="16" outlineLevel="1">
      <c r="A16" s="50">
        <v>1.0</v>
      </c>
      <c r="B16" s="77">
        <v>46150.0</v>
      </c>
      <c r="C16" s="53" t="s">
        <v>84</v>
      </c>
      <c r="D16" s="50">
        <v>534.0</v>
      </c>
      <c r="E16" s="50">
        <v>2.0</v>
      </c>
      <c r="F16" s="50">
        <v>0.0</v>
      </c>
      <c r="G16" s="50">
        <v>3.0</v>
      </c>
      <c r="H16" s="50">
        <v>17.0</v>
      </c>
      <c r="I16" s="54">
        <f t="shared" ref="I16:I19" si="8">SUM(E16:H16)</f>
        <v>22</v>
      </c>
      <c r="J16" s="56">
        <f t="shared" si="2"/>
        <v>0.04119850187</v>
      </c>
      <c r="K16" s="79">
        <v>0.0</v>
      </c>
      <c r="L16" s="62" t="s">
        <v>86</v>
      </c>
    </row>
    <row r="17" outlineLevel="1">
      <c r="A17" s="50">
        <v>2.0</v>
      </c>
      <c r="B17" s="77">
        <v>46155.0</v>
      </c>
      <c r="C17" s="53" t="s">
        <v>88</v>
      </c>
      <c r="D17" s="50">
        <v>643.0</v>
      </c>
      <c r="E17" s="50">
        <v>2.0</v>
      </c>
      <c r="F17" s="50">
        <v>0.0</v>
      </c>
      <c r="G17" s="50">
        <v>1.0</v>
      </c>
      <c r="H17" s="50">
        <v>24.0</v>
      </c>
      <c r="I17" s="54">
        <f t="shared" si="8"/>
        <v>27</v>
      </c>
      <c r="J17" s="56">
        <f t="shared" si="2"/>
        <v>0.04199066874</v>
      </c>
      <c r="K17" s="79">
        <v>0.0</v>
      </c>
      <c r="L17" s="62" t="s">
        <v>89</v>
      </c>
    </row>
    <row r="18" outlineLevel="1">
      <c r="A18" s="50">
        <v>3.0</v>
      </c>
      <c r="B18" s="77">
        <v>46168.0</v>
      </c>
      <c r="C18" s="53" t="s">
        <v>93</v>
      </c>
      <c r="D18" s="50">
        <v>360.0</v>
      </c>
      <c r="E18" s="50">
        <v>3.0</v>
      </c>
      <c r="F18" s="50">
        <v>0.0</v>
      </c>
      <c r="G18" s="50">
        <v>5.0</v>
      </c>
      <c r="H18" s="50">
        <v>7.0</v>
      </c>
      <c r="I18" s="54">
        <f t="shared" si="8"/>
        <v>15</v>
      </c>
      <c r="J18" s="56">
        <f t="shared" si="2"/>
        <v>0.04166666667</v>
      </c>
      <c r="K18" s="79">
        <v>0.0</v>
      </c>
      <c r="L18" s="62" t="s">
        <v>97</v>
      </c>
    </row>
    <row r="19" outlineLevel="1">
      <c r="A19" s="50">
        <v>4.0</v>
      </c>
      <c r="B19" s="77">
        <v>46169.0</v>
      </c>
      <c r="C19" s="53" t="s">
        <v>107</v>
      </c>
      <c r="D19" s="50">
        <v>624.0</v>
      </c>
      <c r="E19" s="50">
        <v>5.0</v>
      </c>
      <c r="F19" s="50">
        <v>0.0</v>
      </c>
      <c r="G19" s="50">
        <v>9.0</v>
      </c>
      <c r="H19" s="50">
        <v>12.0</v>
      </c>
      <c r="I19" s="54">
        <f t="shared" si="8"/>
        <v>26</v>
      </c>
      <c r="J19" s="56">
        <f t="shared" si="2"/>
        <v>0.04166666667</v>
      </c>
      <c r="K19" s="79">
        <v>0.0</v>
      </c>
      <c r="L19" s="62" t="s">
        <v>108</v>
      </c>
    </row>
    <row r="20" outlineLevel="1">
      <c r="A20" s="70" t="s">
        <v>110</v>
      </c>
      <c r="B20" s="15"/>
      <c r="C20" s="17"/>
      <c r="D20" s="72">
        <f t="shared" ref="D20:I20" si="9">SUM(D16:D19)</f>
        <v>2161</v>
      </c>
      <c r="E20" s="74">
        <f t="shared" si="9"/>
        <v>12</v>
      </c>
      <c r="F20" s="74">
        <f t="shared" si="9"/>
        <v>0</v>
      </c>
      <c r="G20" s="74">
        <f t="shared" si="9"/>
        <v>18</v>
      </c>
      <c r="H20" s="74">
        <f t="shared" si="9"/>
        <v>60</v>
      </c>
      <c r="I20" s="74">
        <f t="shared" si="9"/>
        <v>90</v>
      </c>
      <c r="J20" s="75">
        <f t="shared" si="2"/>
        <v>0.04164738547</v>
      </c>
      <c r="K20" s="74">
        <f>SUM(K16:K19)</f>
        <v>0</v>
      </c>
      <c r="L20" s="76"/>
    </row>
    <row r="21" outlineLevel="1">
      <c r="A21" s="50">
        <v>1.0</v>
      </c>
      <c r="B21" s="51">
        <v>46184.0</v>
      </c>
      <c r="C21" s="97" t="s">
        <v>112</v>
      </c>
      <c r="D21" s="50">
        <v>505.0</v>
      </c>
      <c r="E21" s="50">
        <v>2.0</v>
      </c>
      <c r="F21" s="50">
        <v>0.0</v>
      </c>
      <c r="G21" s="50">
        <v>3.0</v>
      </c>
      <c r="H21" s="50">
        <v>11.0</v>
      </c>
      <c r="I21" s="54">
        <f t="shared" ref="I21:I23" si="10">SUM(E21:H21)</f>
        <v>16</v>
      </c>
      <c r="J21" s="56">
        <f t="shared" si="2"/>
        <v>0.03168316832</v>
      </c>
      <c r="K21" s="50">
        <v>1.0</v>
      </c>
      <c r="L21" s="62" t="s">
        <v>113</v>
      </c>
    </row>
    <row r="22" outlineLevel="1">
      <c r="A22" s="50">
        <v>2.0</v>
      </c>
      <c r="B22" s="51">
        <v>46189.0</v>
      </c>
      <c r="C22" s="53" t="s">
        <v>114</v>
      </c>
      <c r="D22" s="50">
        <v>408.0</v>
      </c>
      <c r="E22" s="50">
        <v>2.0</v>
      </c>
      <c r="F22" s="50">
        <v>0.0</v>
      </c>
      <c r="G22" s="50">
        <v>2.0</v>
      </c>
      <c r="H22" s="50">
        <v>10.0</v>
      </c>
      <c r="I22" s="54">
        <f t="shared" si="10"/>
        <v>14</v>
      </c>
      <c r="J22" s="56">
        <f t="shared" si="2"/>
        <v>0.03431372549</v>
      </c>
      <c r="K22" s="50">
        <v>0.0</v>
      </c>
      <c r="L22" s="62" t="s">
        <v>115</v>
      </c>
    </row>
    <row r="23" outlineLevel="1">
      <c r="A23" s="50">
        <v>3.0</v>
      </c>
      <c r="B23" s="51">
        <v>46199.0</v>
      </c>
      <c r="C23" s="53" t="s">
        <v>118</v>
      </c>
      <c r="D23" s="50">
        <v>1282.0</v>
      </c>
      <c r="E23" s="50">
        <v>8.0</v>
      </c>
      <c r="F23" s="50">
        <v>0.0</v>
      </c>
      <c r="G23" s="50">
        <v>9.0</v>
      </c>
      <c r="H23" s="50">
        <v>154.0</v>
      </c>
      <c r="I23" s="54">
        <f t="shared" si="10"/>
        <v>171</v>
      </c>
      <c r="J23" s="56">
        <f t="shared" si="2"/>
        <v>0.1333853354</v>
      </c>
      <c r="K23" s="50">
        <v>1.0</v>
      </c>
      <c r="L23" s="62" t="s">
        <v>119</v>
      </c>
    </row>
    <row r="24" outlineLevel="1">
      <c r="A24" s="70" t="s">
        <v>120</v>
      </c>
      <c r="B24" s="15"/>
      <c r="C24" s="17"/>
      <c r="D24" s="72">
        <f t="shared" ref="D24:I24" si="11">SUM(D21:D23)</f>
        <v>2195</v>
      </c>
      <c r="E24" s="72">
        <f t="shared" si="11"/>
        <v>12</v>
      </c>
      <c r="F24" s="72">
        <f t="shared" si="11"/>
        <v>0</v>
      </c>
      <c r="G24" s="72">
        <f t="shared" si="11"/>
        <v>14</v>
      </c>
      <c r="H24" s="72">
        <f t="shared" si="11"/>
        <v>175</v>
      </c>
      <c r="I24" s="72">
        <f t="shared" si="11"/>
        <v>201</v>
      </c>
      <c r="J24" s="75">
        <f t="shared" si="2"/>
        <v>0.09157175399</v>
      </c>
      <c r="K24" s="74">
        <f>SUM(K20:K23)</f>
        <v>2</v>
      </c>
      <c r="L24" s="76"/>
    </row>
    <row r="25">
      <c r="A25" s="50">
        <v>1.0</v>
      </c>
      <c r="B25" s="51">
        <v>46209.0</v>
      </c>
      <c r="C25" s="53" t="s">
        <v>123</v>
      </c>
      <c r="D25" s="50">
        <v>269.0</v>
      </c>
      <c r="E25" s="50">
        <v>3.0</v>
      </c>
      <c r="F25" s="50">
        <v>0.0</v>
      </c>
      <c r="G25" s="50">
        <v>9.0</v>
      </c>
      <c r="H25" s="50">
        <v>14.0</v>
      </c>
      <c r="I25" s="54">
        <f t="shared" ref="I25:I26" si="12">E25+F25+G25+H25</f>
        <v>26</v>
      </c>
      <c r="J25" s="56">
        <f t="shared" si="2"/>
        <v>0.09665427509</v>
      </c>
      <c r="K25" s="50">
        <v>0.0</v>
      </c>
      <c r="L25" s="60" t="s">
        <v>124</v>
      </c>
    </row>
    <row r="26">
      <c r="A26" s="50">
        <v>2.0</v>
      </c>
      <c r="B26" s="51">
        <v>46224.0</v>
      </c>
      <c r="C26" s="53" t="s">
        <v>125</v>
      </c>
      <c r="D26" s="50">
        <v>869.0</v>
      </c>
      <c r="E26" s="50">
        <v>0.0</v>
      </c>
      <c r="F26" s="50">
        <v>1.0</v>
      </c>
      <c r="G26" s="50">
        <v>4.0</v>
      </c>
      <c r="H26" s="50">
        <v>12.0</v>
      </c>
      <c r="I26" s="54">
        <f t="shared" si="12"/>
        <v>17</v>
      </c>
      <c r="J26" s="56">
        <f t="shared" si="2"/>
        <v>0.01956271577</v>
      </c>
      <c r="K26" s="50">
        <v>0.0</v>
      </c>
      <c r="L26" s="62" t="s">
        <v>127</v>
      </c>
    </row>
    <row r="27">
      <c r="A27" s="70" t="s">
        <v>130</v>
      </c>
      <c r="B27" s="15"/>
      <c r="C27" s="17"/>
      <c r="D27" s="72">
        <f t="shared" ref="D27:I27" si="13">SUM(D25:D26)</f>
        <v>1138</v>
      </c>
      <c r="E27" s="74">
        <f t="shared" si="13"/>
        <v>3</v>
      </c>
      <c r="F27" s="74">
        <f t="shared" si="13"/>
        <v>1</v>
      </c>
      <c r="G27" s="74">
        <f t="shared" si="13"/>
        <v>13</v>
      </c>
      <c r="H27" s="74">
        <f t="shared" si="13"/>
        <v>26</v>
      </c>
      <c r="I27" s="74">
        <f t="shared" si="13"/>
        <v>43</v>
      </c>
      <c r="J27" s="109">
        <f t="shared" si="2"/>
        <v>0.03778558875</v>
      </c>
      <c r="K27" s="111">
        <v>0.0</v>
      </c>
      <c r="L27" s="76"/>
    </row>
    <row r="28">
      <c r="A28" s="50">
        <v>1.0</v>
      </c>
      <c r="B28" s="51">
        <v>46240.0</v>
      </c>
      <c r="C28" s="53" t="s">
        <v>131</v>
      </c>
      <c r="D28" s="50">
        <v>471.0</v>
      </c>
      <c r="E28" s="50">
        <v>10.0</v>
      </c>
      <c r="F28" s="50">
        <v>0.0</v>
      </c>
      <c r="G28" s="50">
        <v>48.0</v>
      </c>
      <c r="H28" s="50">
        <v>47.0</v>
      </c>
      <c r="I28" s="54">
        <f t="shared" ref="I28:I30" si="14">SUM(E28:H28)</f>
        <v>105</v>
      </c>
      <c r="J28" s="56">
        <f t="shared" si="2"/>
        <v>0.2229299363</v>
      </c>
      <c r="K28" s="79">
        <v>1.0</v>
      </c>
      <c r="L28" s="62" t="s">
        <v>132</v>
      </c>
    </row>
    <row r="29">
      <c r="A29" s="50">
        <v>2.0</v>
      </c>
      <c r="B29" s="51">
        <v>46246.0</v>
      </c>
      <c r="C29" s="53" t="s">
        <v>134</v>
      </c>
      <c r="D29" s="50">
        <v>376.0</v>
      </c>
      <c r="E29" s="50">
        <v>4.0</v>
      </c>
      <c r="F29" s="50">
        <v>0.0</v>
      </c>
      <c r="G29" s="50">
        <v>4.0</v>
      </c>
      <c r="H29" s="50">
        <v>11.0</v>
      </c>
      <c r="I29" s="54">
        <f t="shared" si="14"/>
        <v>19</v>
      </c>
      <c r="J29" s="56">
        <f t="shared" si="2"/>
        <v>0.05053191489</v>
      </c>
      <c r="K29" s="79">
        <v>0.0</v>
      </c>
      <c r="L29" s="62" t="s">
        <v>136</v>
      </c>
    </row>
    <row r="30">
      <c r="A30" s="50">
        <v>3.0</v>
      </c>
      <c r="B30" s="51">
        <v>46262.0</v>
      </c>
      <c r="C30" s="113" t="s">
        <v>139</v>
      </c>
      <c r="D30" s="50">
        <v>194.0</v>
      </c>
      <c r="E30" s="50">
        <v>1.0</v>
      </c>
      <c r="F30" s="50">
        <v>0.0</v>
      </c>
      <c r="G30" s="50">
        <v>2.0</v>
      </c>
      <c r="H30" s="50">
        <v>3.0</v>
      </c>
      <c r="I30" s="54">
        <f t="shared" si="14"/>
        <v>6</v>
      </c>
      <c r="J30" s="56">
        <f t="shared" si="2"/>
        <v>0.03092783505</v>
      </c>
      <c r="K30" s="79">
        <v>0.0</v>
      </c>
      <c r="L30" s="62" t="s">
        <v>140</v>
      </c>
    </row>
    <row r="31">
      <c r="A31" s="70" t="s">
        <v>141</v>
      </c>
      <c r="B31" s="15"/>
      <c r="C31" s="17"/>
      <c r="D31" s="72">
        <f t="shared" ref="D31:I31" si="15">SUM(D28:D30)</f>
        <v>1041</v>
      </c>
      <c r="E31" s="74">
        <f t="shared" si="15"/>
        <v>15</v>
      </c>
      <c r="F31" s="74">
        <f t="shared" si="15"/>
        <v>0</v>
      </c>
      <c r="G31" s="74">
        <f t="shared" si="15"/>
        <v>54</v>
      </c>
      <c r="H31" s="74">
        <f t="shared" si="15"/>
        <v>61</v>
      </c>
      <c r="I31" s="74">
        <f t="shared" si="15"/>
        <v>130</v>
      </c>
      <c r="J31" s="75">
        <f t="shared" si="2"/>
        <v>0.1248799232</v>
      </c>
      <c r="K31" s="74">
        <f>SUM(K28:K30)</f>
        <v>1</v>
      </c>
      <c r="L31" s="76"/>
    </row>
    <row r="32">
      <c r="C32" s="114"/>
    </row>
    <row r="33">
      <c r="C33" s="114"/>
    </row>
    <row r="34">
      <c r="C34" s="114"/>
    </row>
    <row r="35">
      <c r="C35" s="114"/>
    </row>
    <row r="36">
      <c r="C36" s="114"/>
    </row>
    <row r="37">
      <c r="C37" s="114"/>
    </row>
    <row r="38">
      <c r="C38" s="114"/>
    </row>
    <row r="39">
      <c r="C39" s="114"/>
    </row>
    <row r="40">
      <c r="C40" s="114"/>
    </row>
    <row r="41">
      <c r="C41" s="114"/>
    </row>
    <row r="42">
      <c r="C42" s="114"/>
    </row>
    <row r="43">
      <c r="C43" s="114"/>
    </row>
    <row r="44">
      <c r="C44" s="114"/>
    </row>
    <row r="45">
      <c r="C45" s="114"/>
    </row>
    <row r="46">
      <c r="C46" s="114"/>
    </row>
    <row r="47">
      <c r="C47" s="114"/>
    </row>
    <row r="48">
      <c r="C48" s="114"/>
    </row>
    <row r="49">
      <c r="C49" s="114"/>
    </row>
    <row r="50">
      <c r="C50" s="114"/>
    </row>
    <row r="51">
      <c r="C51" s="114"/>
    </row>
    <row r="52">
      <c r="C52" s="114"/>
    </row>
    <row r="53">
      <c r="C53" s="114"/>
    </row>
    <row r="54">
      <c r="C54" s="114"/>
    </row>
    <row r="55">
      <c r="C55" s="114"/>
    </row>
    <row r="56">
      <c r="C56" s="114"/>
    </row>
    <row r="57">
      <c r="C57" s="114"/>
    </row>
    <row r="58">
      <c r="C58" s="114"/>
    </row>
    <row r="59">
      <c r="C59" s="114"/>
    </row>
    <row r="60">
      <c r="C60" s="114"/>
    </row>
    <row r="61">
      <c r="C61" s="114"/>
    </row>
    <row r="62">
      <c r="C62" s="114"/>
    </row>
    <row r="63">
      <c r="C63" s="114"/>
    </row>
    <row r="64">
      <c r="C64" s="114"/>
    </row>
    <row r="65">
      <c r="C65" s="114"/>
    </row>
    <row r="66">
      <c r="C66" s="114"/>
    </row>
    <row r="67">
      <c r="C67" s="114"/>
    </row>
    <row r="68">
      <c r="C68" s="114"/>
    </row>
    <row r="69">
      <c r="C69" s="114"/>
    </row>
    <row r="70">
      <c r="C70" s="114"/>
    </row>
    <row r="71">
      <c r="C71" s="114"/>
    </row>
    <row r="72">
      <c r="C72" s="114"/>
    </row>
    <row r="73">
      <c r="C73" s="114"/>
    </row>
    <row r="74">
      <c r="C74" s="114"/>
    </row>
    <row r="75">
      <c r="C75" s="114"/>
    </row>
    <row r="76">
      <c r="C76" s="114"/>
    </row>
    <row r="77">
      <c r="C77" s="114"/>
    </row>
    <row r="78">
      <c r="C78" s="114"/>
    </row>
    <row r="79">
      <c r="C79" s="114"/>
    </row>
    <row r="80">
      <c r="C80" s="114"/>
    </row>
    <row r="81">
      <c r="C81" s="114"/>
    </row>
    <row r="82">
      <c r="C82" s="114"/>
    </row>
    <row r="83">
      <c r="C83" s="114"/>
    </row>
    <row r="84">
      <c r="C84" s="114"/>
    </row>
    <row r="85">
      <c r="C85" s="114"/>
    </row>
    <row r="86">
      <c r="C86" s="114"/>
    </row>
    <row r="87">
      <c r="C87" s="114"/>
    </row>
    <row r="88">
      <c r="C88" s="114"/>
    </row>
    <row r="89">
      <c r="C89" s="114"/>
    </row>
    <row r="90">
      <c r="C90" s="114"/>
    </row>
    <row r="91">
      <c r="C91" s="114"/>
    </row>
    <row r="92">
      <c r="C92" s="114"/>
    </row>
    <row r="93">
      <c r="C93" s="114"/>
    </row>
    <row r="94">
      <c r="C94" s="114"/>
    </row>
    <row r="95">
      <c r="C95" s="114"/>
    </row>
    <row r="96">
      <c r="C96" s="114"/>
    </row>
    <row r="97">
      <c r="C97" s="114"/>
    </row>
    <row r="98">
      <c r="C98" s="114"/>
    </row>
    <row r="99">
      <c r="C99" s="114"/>
    </row>
    <row r="100">
      <c r="C100" s="114"/>
    </row>
    <row r="101">
      <c r="C101" s="114"/>
    </row>
    <row r="102">
      <c r="C102" s="114"/>
    </row>
    <row r="103">
      <c r="C103" s="114"/>
    </row>
    <row r="104">
      <c r="C104" s="114"/>
    </row>
    <row r="105">
      <c r="C105" s="114"/>
    </row>
    <row r="106">
      <c r="C106" s="114"/>
    </row>
    <row r="107">
      <c r="C107" s="114"/>
    </row>
    <row r="108">
      <c r="C108" s="114"/>
    </row>
    <row r="109">
      <c r="C109" s="114"/>
    </row>
    <row r="110">
      <c r="C110" s="114"/>
    </row>
    <row r="111">
      <c r="C111" s="114"/>
    </row>
    <row r="112">
      <c r="C112" s="114"/>
    </row>
    <row r="113">
      <c r="C113" s="114"/>
    </row>
    <row r="114">
      <c r="C114" s="114"/>
    </row>
    <row r="115">
      <c r="C115" s="114"/>
    </row>
    <row r="116">
      <c r="C116" s="114"/>
    </row>
    <row r="117">
      <c r="C117" s="114"/>
    </row>
    <row r="118">
      <c r="C118" s="114"/>
    </row>
    <row r="119">
      <c r="C119" s="114"/>
    </row>
    <row r="120">
      <c r="C120" s="114"/>
    </row>
    <row r="121">
      <c r="C121" s="114"/>
    </row>
    <row r="122">
      <c r="C122" s="114"/>
    </row>
    <row r="123">
      <c r="C123" s="114"/>
    </row>
    <row r="124">
      <c r="C124" s="114"/>
    </row>
    <row r="125">
      <c r="C125" s="114"/>
    </row>
    <row r="126">
      <c r="C126" s="114"/>
    </row>
    <row r="127">
      <c r="C127" s="114"/>
    </row>
    <row r="128">
      <c r="C128" s="114"/>
    </row>
    <row r="129">
      <c r="C129" s="114"/>
    </row>
    <row r="130">
      <c r="C130" s="114"/>
    </row>
    <row r="131">
      <c r="C131" s="114"/>
    </row>
    <row r="132">
      <c r="C132" s="114"/>
    </row>
    <row r="133">
      <c r="C133" s="114"/>
    </row>
    <row r="134">
      <c r="C134" s="114"/>
    </row>
    <row r="135">
      <c r="C135" s="114"/>
    </row>
    <row r="136">
      <c r="C136" s="114"/>
    </row>
    <row r="137">
      <c r="C137" s="114"/>
    </row>
    <row r="138">
      <c r="C138" s="114"/>
    </row>
    <row r="139">
      <c r="C139" s="114"/>
    </row>
    <row r="140">
      <c r="C140" s="114"/>
    </row>
    <row r="141">
      <c r="C141" s="114"/>
    </row>
    <row r="142">
      <c r="C142" s="114"/>
    </row>
    <row r="143">
      <c r="C143" s="114"/>
    </row>
    <row r="144">
      <c r="C144" s="114"/>
    </row>
    <row r="145">
      <c r="C145" s="114"/>
    </row>
    <row r="146">
      <c r="C146" s="114"/>
    </row>
    <row r="147">
      <c r="C147" s="114"/>
    </row>
    <row r="148">
      <c r="C148" s="114"/>
    </row>
    <row r="149">
      <c r="C149" s="114"/>
    </row>
    <row r="150">
      <c r="C150" s="114"/>
    </row>
    <row r="151">
      <c r="C151" s="114"/>
    </row>
    <row r="152">
      <c r="C152" s="114"/>
    </row>
    <row r="153">
      <c r="C153" s="114"/>
    </row>
    <row r="154">
      <c r="C154" s="114"/>
    </row>
    <row r="155">
      <c r="C155" s="114"/>
    </row>
    <row r="156">
      <c r="C156" s="114"/>
    </row>
    <row r="157">
      <c r="C157" s="114"/>
    </row>
    <row r="158">
      <c r="C158" s="114"/>
    </row>
    <row r="159">
      <c r="C159" s="114"/>
    </row>
    <row r="160">
      <c r="C160" s="114"/>
    </row>
    <row r="161">
      <c r="C161" s="114"/>
    </row>
    <row r="162">
      <c r="C162" s="114"/>
    </row>
    <row r="163">
      <c r="C163" s="114"/>
    </row>
    <row r="164">
      <c r="C164" s="114"/>
    </row>
    <row r="165">
      <c r="C165" s="114"/>
    </row>
    <row r="166">
      <c r="C166" s="114"/>
    </row>
    <row r="167">
      <c r="C167" s="114"/>
    </row>
    <row r="168">
      <c r="C168" s="114"/>
    </row>
    <row r="169">
      <c r="C169" s="114"/>
    </row>
    <row r="170">
      <c r="C170" s="114"/>
    </row>
    <row r="171">
      <c r="C171" s="114"/>
    </row>
    <row r="172">
      <c r="C172" s="114"/>
    </row>
    <row r="173">
      <c r="C173" s="114"/>
    </row>
    <row r="174">
      <c r="C174" s="114"/>
    </row>
    <row r="175">
      <c r="C175" s="114"/>
    </row>
    <row r="176">
      <c r="C176" s="114"/>
    </row>
    <row r="177">
      <c r="C177" s="114"/>
    </row>
    <row r="178">
      <c r="C178" s="114"/>
    </row>
    <row r="179">
      <c r="C179" s="114"/>
    </row>
    <row r="180">
      <c r="C180" s="114"/>
    </row>
    <row r="181">
      <c r="C181" s="114"/>
    </row>
    <row r="182">
      <c r="C182" s="114"/>
    </row>
    <row r="183">
      <c r="C183" s="114"/>
    </row>
    <row r="184">
      <c r="C184" s="114"/>
    </row>
    <row r="185">
      <c r="C185" s="114"/>
    </row>
    <row r="186">
      <c r="C186" s="114"/>
    </row>
    <row r="187">
      <c r="C187" s="114"/>
    </row>
    <row r="188">
      <c r="C188" s="114"/>
    </row>
    <row r="189">
      <c r="C189" s="114"/>
    </row>
    <row r="190">
      <c r="C190" s="114"/>
    </row>
    <row r="191">
      <c r="C191" s="114"/>
    </row>
    <row r="192">
      <c r="C192" s="114"/>
    </row>
    <row r="193">
      <c r="C193" s="114"/>
    </row>
    <row r="194">
      <c r="C194" s="114"/>
    </row>
    <row r="195">
      <c r="C195" s="114"/>
    </row>
    <row r="196">
      <c r="C196" s="114"/>
    </row>
    <row r="197">
      <c r="C197" s="114"/>
    </row>
    <row r="198">
      <c r="C198" s="114"/>
    </row>
    <row r="199">
      <c r="C199" s="114"/>
    </row>
    <row r="200">
      <c r="C200" s="114"/>
    </row>
    <row r="201">
      <c r="C201" s="114"/>
    </row>
    <row r="202">
      <c r="C202" s="114"/>
    </row>
    <row r="203">
      <c r="C203" s="114"/>
    </row>
    <row r="204">
      <c r="C204" s="114"/>
    </row>
    <row r="205">
      <c r="C205" s="114"/>
    </row>
    <row r="206">
      <c r="C206" s="114"/>
    </row>
    <row r="207">
      <c r="C207" s="114"/>
    </row>
    <row r="208">
      <c r="C208" s="114"/>
    </row>
    <row r="209">
      <c r="C209" s="114"/>
    </row>
    <row r="210">
      <c r="C210" s="114"/>
    </row>
    <row r="211">
      <c r="C211" s="114"/>
    </row>
    <row r="212">
      <c r="C212" s="114"/>
    </row>
    <row r="213">
      <c r="C213" s="114"/>
    </row>
    <row r="214">
      <c r="C214" s="114"/>
    </row>
    <row r="215">
      <c r="C215" s="114"/>
    </row>
    <row r="216">
      <c r="C216" s="114"/>
    </row>
    <row r="217">
      <c r="C217" s="114"/>
    </row>
    <row r="218">
      <c r="C218" s="114"/>
    </row>
    <row r="219">
      <c r="C219" s="114"/>
    </row>
    <row r="220">
      <c r="C220" s="114"/>
    </row>
    <row r="221">
      <c r="C221" s="114"/>
    </row>
    <row r="222">
      <c r="C222" s="114"/>
    </row>
    <row r="223">
      <c r="C223" s="114"/>
    </row>
    <row r="224">
      <c r="C224" s="114"/>
    </row>
    <row r="225">
      <c r="C225" s="114"/>
    </row>
    <row r="226">
      <c r="C226" s="114"/>
    </row>
    <row r="227">
      <c r="C227" s="114"/>
    </row>
    <row r="228">
      <c r="C228" s="114"/>
    </row>
    <row r="229">
      <c r="C229" s="114"/>
    </row>
    <row r="230">
      <c r="C230" s="114"/>
    </row>
    <row r="231">
      <c r="C231" s="114"/>
    </row>
    <row r="232">
      <c r="C232" s="114"/>
    </row>
    <row r="233">
      <c r="C233" s="114"/>
    </row>
    <row r="234">
      <c r="C234" s="114"/>
    </row>
    <row r="235">
      <c r="C235" s="114"/>
    </row>
    <row r="236">
      <c r="C236" s="114"/>
    </row>
    <row r="237">
      <c r="C237" s="114"/>
    </row>
    <row r="238">
      <c r="C238" s="114"/>
    </row>
    <row r="239">
      <c r="C239" s="114"/>
    </row>
    <row r="240">
      <c r="C240" s="114"/>
    </row>
    <row r="241">
      <c r="C241" s="114"/>
    </row>
    <row r="242">
      <c r="C242" s="114"/>
    </row>
    <row r="243">
      <c r="C243" s="114"/>
    </row>
    <row r="244">
      <c r="C244" s="114"/>
    </row>
    <row r="245">
      <c r="C245" s="114"/>
    </row>
    <row r="246">
      <c r="C246" s="114"/>
    </row>
    <row r="247">
      <c r="C247" s="114"/>
    </row>
    <row r="248">
      <c r="C248" s="114"/>
    </row>
    <row r="249">
      <c r="C249" s="114"/>
    </row>
    <row r="250">
      <c r="C250" s="114"/>
    </row>
    <row r="251">
      <c r="C251" s="114"/>
    </row>
    <row r="252">
      <c r="C252" s="114"/>
    </row>
    <row r="253">
      <c r="C253" s="114"/>
    </row>
    <row r="254">
      <c r="C254" s="114"/>
    </row>
    <row r="255">
      <c r="C255" s="114"/>
    </row>
    <row r="256">
      <c r="C256" s="114"/>
    </row>
    <row r="257">
      <c r="C257" s="114"/>
    </row>
    <row r="258">
      <c r="C258" s="114"/>
    </row>
    <row r="259">
      <c r="C259" s="114"/>
    </row>
    <row r="260">
      <c r="C260" s="114"/>
    </row>
    <row r="261">
      <c r="C261" s="114"/>
    </row>
    <row r="262">
      <c r="C262" s="114"/>
    </row>
    <row r="263">
      <c r="C263" s="114"/>
    </row>
    <row r="264">
      <c r="C264" s="114"/>
    </row>
    <row r="265">
      <c r="C265" s="114"/>
    </row>
    <row r="266">
      <c r="C266" s="114"/>
    </row>
    <row r="267">
      <c r="C267" s="114"/>
    </row>
    <row r="268">
      <c r="C268" s="114"/>
    </row>
    <row r="269">
      <c r="C269" s="114"/>
    </row>
    <row r="270">
      <c r="C270" s="114"/>
    </row>
    <row r="271">
      <c r="C271" s="114"/>
    </row>
    <row r="272">
      <c r="C272" s="114"/>
    </row>
    <row r="273">
      <c r="C273" s="114"/>
    </row>
    <row r="274">
      <c r="C274" s="114"/>
    </row>
    <row r="275">
      <c r="C275" s="114"/>
    </row>
    <row r="276">
      <c r="C276" s="114"/>
    </row>
    <row r="277">
      <c r="C277" s="114"/>
    </row>
    <row r="278">
      <c r="C278" s="114"/>
    </row>
    <row r="279">
      <c r="C279" s="114"/>
    </row>
    <row r="280">
      <c r="C280" s="114"/>
    </row>
    <row r="281">
      <c r="C281" s="114"/>
    </row>
    <row r="282">
      <c r="C282" s="114"/>
    </row>
    <row r="283">
      <c r="C283" s="114"/>
    </row>
    <row r="284">
      <c r="C284" s="114"/>
    </row>
    <row r="285">
      <c r="C285" s="114"/>
    </row>
    <row r="286">
      <c r="C286" s="114"/>
    </row>
    <row r="287">
      <c r="C287" s="114"/>
    </row>
    <row r="288">
      <c r="C288" s="114"/>
    </row>
    <row r="289">
      <c r="C289" s="114"/>
    </row>
    <row r="290">
      <c r="C290" s="114"/>
    </row>
    <row r="291">
      <c r="C291" s="114"/>
    </row>
    <row r="292">
      <c r="C292" s="114"/>
    </row>
    <row r="293">
      <c r="C293" s="114"/>
    </row>
    <row r="294">
      <c r="C294" s="114"/>
    </row>
    <row r="295">
      <c r="C295" s="114"/>
    </row>
    <row r="296">
      <c r="C296" s="114"/>
    </row>
    <row r="297">
      <c r="C297" s="114"/>
    </row>
    <row r="298">
      <c r="C298" s="114"/>
    </row>
    <row r="299">
      <c r="C299" s="114"/>
    </row>
    <row r="300">
      <c r="C300" s="114"/>
    </row>
    <row r="301">
      <c r="C301" s="114"/>
    </row>
    <row r="302">
      <c r="C302" s="114"/>
    </row>
    <row r="303">
      <c r="C303" s="114"/>
    </row>
    <row r="304">
      <c r="C304" s="114"/>
    </row>
    <row r="305">
      <c r="C305" s="114"/>
    </row>
    <row r="306">
      <c r="C306" s="114"/>
    </row>
    <row r="307">
      <c r="C307" s="114"/>
    </row>
    <row r="308">
      <c r="C308" s="114"/>
    </row>
    <row r="309">
      <c r="C309" s="114"/>
    </row>
    <row r="310">
      <c r="C310" s="114"/>
    </row>
    <row r="311">
      <c r="C311" s="114"/>
    </row>
    <row r="312">
      <c r="C312" s="114"/>
    </row>
    <row r="313">
      <c r="C313" s="114"/>
    </row>
    <row r="314">
      <c r="C314" s="114"/>
    </row>
    <row r="315">
      <c r="C315" s="114"/>
    </row>
    <row r="316">
      <c r="C316" s="114"/>
    </row>
    <row r="317">
      <c r="C317" s="114"/>
    </row>
    <row r="318">
      <c r="C318" s="114"/>
    </row>
    <row r="319">
      <c r="C319" s="114"/>
    </row>
    <row r="320">
      <c r="C320" s="114"/>
    </row>
    <row r="321">
      <c r="C321" s="114"/>
    </row>
    <row r="322">
      <c r="C322" s="114"/>
    </row>
    <row r="323">
      <c r="C323" s="114"/>
    </row>
    <row r="324">
      <c r="C324" s="114"/>
    </row>
    <row r="325">
      <c r="C325" s="114"/>
    </row>
    <row r="326">
      <c r="C326" s="114"/>
    </row>
    <row r="327">
      <c r="C327" s="114"/>
    </row>
    <row r="328">
      <c r="C328" s="114"/>
    </row>
    <row r="329">
      <c r="C329" s="114"/>
    </row>
    <row r="330">
      <c r="C330" s="114"/>
    </row>
    <row r="331">
      <c r="C331" s="114"/>
    </row>
    <row r="332">
      <c r="C332" s="114"/>
    </row>
    <row r="333">
      <c r="C333" s="114"/>
    </row>
    <row r="334">
      <c r="C334" s="114"/>
    </row>
    <row r="335">
      <c r="C335" s="114"/>
    </row>
    <row r="336">
      <c r="C336" s="114"/>
    </row>
    <row r="337">
      <c r="C337" s="114"/>
    </row>
    <row r="338">
      <c r="C338" s="114"/>
    </row>
    <row r="339">
      <c r="C339" s="114"/>
    </row>
    <row r="340">
      <c r="C340" s="114"/>
    </row>
    <row r="341">
      <c r="C341" s="114"/>
    </row>
    <row r="342">
      <c r="C342" s="114"/>
    </row>
    <row r="343">
      <c r="C343" s="114"/>
    </row>
    <row r="344">
      <c r="C344" s="114"/>
    </row>
    <row r="345">
      <c r="C345" s="114"/>
    </row>
    <row r="346">
      <c r="C346" s="114"/>
    </row>
    <row r="347">
      <c r="C347" s="114"/>
    </row>
    <row r="348">
      <c r="C348" s="114"/>
    </row>
    <row r="349">
      <c r="C349" s="114"/>
    </row>
    <row r="350">
      <c r="C350" s="114"/>
    </row>
    <row r="351">
      <c r="C351" s="114"/>
    </row>
    <row r="352">
      <c r="C352" s="114"/>
    </row>
    <row r="353">
      <c r="C353" s="114"/>
    </row>
    <row r="354">
      <c r="C354" s="114"/>
    </row>
    <row r="355">
      <c r="C355" s="114"/>
    </row>
    <row r="356">
      <c r="C356" s="114"/>
    </row>
    <row r="357">
      <c r="C357" s="114"/>
    </row>
    <row r="358">
      <c r="C358" s="114"/>
    </row>
    <row r="359">
      <c r="C359" s="114"/>
    </row>
    <row r="360">
      <c r="C360" s="114"/>
    </row>
    <row r="361">
      <c r="C361" s="114"/>
    </row>
    <row r="362">
      <c r="C362" s="114"/>
    </row>
    <row r="363">
      <c r="C363" s="114"/>
    </row>
    <row r="364">
      <c r="C364" s="114"/>
    </row>
    <row r="365">
      <c r="C365" s="114"/>
    </row>
    <row r="366">
      <c r="C366" s="114"/>
    </row>
    <row r="367">
      <c r="C367" s="114"/>
    </row>
    <row r="368">
      <c r="C368" s="114"/>
    </row>
    <row r="369">
      <c r="C369" s="114"/>
    </row>
    <row r="370">
      <c r="C370" s="114"/>
    </row>
    <row r="371">
      <c r="C371" s="114"/>
    </row>
    <row r="372">
      <c r="C372" s="114"/>
    </row>
    <row r="373">
      <c r="C373" s="114"/>
    </row>
    <row r="374">
      <c r="C374" s="114"/>
    </row>
    <row r="375">
      <c r="C375" s="114"/>
    </row>
    <row r="376">
      <c r="C376" s="114"/>
    </row>
    <row r="377">
      <c r="C377" s="114"/>
    </row>
    <row r="378">
      <c r="C378" s="114"/>
    </row>
    <row r="379">
      <c r="C379" s="114"/>
    </row>
    <row r="380">
      <c r="C380" s="114"/>
    </row>
    <row r="381">
      <c r="C381" s="114"/>
    </row>
    <row r="382">
      <c r="C382" s="114"/>
    </row>
    <row r="383">
      <c r="C383" s="114"/>
    </row>
    <row r="384">
      <c r="C384" s="114"/>
    </row>
    <row r="385">
      <c r="C385" s="114"/>
    </row>
    <row r="386">
      <c r="C386" s="114"/>
    </row>
    <row r="387">
      <c r="C387" s="114"/>
    </row>
    <row r="388">
      <c r="C388" s="114"/>
    </row>
    <row r="389">
      <c r="C389" s="114"/>
    </row>
    <row r="390">
      <c r="C390" s="114"/>
    </row>
    <row r="391">
      <c r="C391" s="114"/>
    </row>
    <row r="392">
      <c r="C392" s="114"/>
    </row>
    <row r="393">
      <c r="C393" s="114"/>
    </row>
    <row r="394">
      <c r="C394" s="114"/>
    </row>
    <row r="395">
      <c r="C395" s="114"/>
    </row>
    <row r="396">
      <c r="C396" s="114"/>
    </row>
    <row r="397">
      <c r="C397" s="114"/>
    </row>
    <row r="398">
      <c r="C398" s="114"/>
    </row>
    <row r="399">
      <c r="C399" s="114"/>
    </row>
    <row r="400">
      <c r="C400" s="114"/>
    </row>
    <row r="401">
      <c r="C401" s="114"/>
    </row>
    <row r="402">
      <c r="C402" s="114"/>
    </row>
    <row r="403">
      <c r="C403" s="114"/>
    </row>
    <row r="404">
      <c r="C404" s="114"/>
    </row>
    <row r="405">
      <c r="C405" s="114"/>
    </row>
    <row r="406">
      <c r="C406" s="114"/>
    </row>
    <row r="407">
      <c r="C407" s="114"/>
    </row>
    <row r="408">
      <c r="C408" s="114"/>
    </row>
    <row r="409">
      <c r="C409" s="114"/>
    </row>
    <row r="410">
      <c r="C410" s="114"/>
    </row>
    <row r="411">
      <c r="C411" s="114"/>
    </row>
    <row r="412">
      <c r="C412" s="114"/>
    </row>
    <row r="413">
      <c r="C413" s="114"/>
    </row>
    <row r="414">
      <c r="C414" s="114"/>
    </row>
    <row r="415">
      <c r="C415" s="114"/>
    </row>
    <row r="416">
      <c r="C416" s="114"/>
    </row>
    <row r="417">
      <c r="C417" s="114"/>
    </row>
    <row r="418">
      <c r="C418" s="114"/>
    </row>
    <row r="419">
      <c r="C419" s="114"/>
    </row>
    <row r="420">
      <c r="C420" s="114"/>
    </row>
    <row r="421">
      <c r="C421" s="114"/>
    </row>
    <row r="422">
      <c r="C422" s="114"/>
    </row>
    <row r="423">
      <c r="C423" s="114"/>
    </row>
    <row r="424">
      <c r="C424" s="114"/>
    </row>
    <row r="425">
      <c r="C425" s="114"/>
    </row>
    <row r="426">
      <c r="C426" s="114"/>
    </row>
    <row r="427">
      <c r="C427" s="114"/>
    </row>
    <row r="428">
      <c r="C428" s="114"/>
    </row>
    <row r="429">
      <c r="C429" s="114"/>
    </row>
    <row r="430">
      <c r="C430" s="114"/>
    </row>
    <row r="431">
      <c r="C431" s="114"/>
    </row>
    <row r="432">
      <c r="C432" s="114"/>
    </row>
    <row r="433">
      <c r="C433" s="114"/>
    </row>
    <row r="434">
      <c r="C434" s="114"/>
    </row>
    <row r="435">
      <c r="C435" s="114"/>
    </row>
    <row r="436">
      <c r="C436" s="114"/>
    </row>
    <row r="437">
      <c r="C437" s="114"/>
    </row>
    <row r="438">
      <c r="C438" s="114"/>
    </row>
    <row r="439">
      <c r="C439" s="114"/>
    </row>
    <row r="440">
      <c r="C440" s="114"/>
    </row>
    <row r="441">
      <c r="C441" s="114"/>
    </row>
    <row r="442">
      <c r="C442" s="114"/>
    </row>
    <row r="443">
      <c r="C443" s="114"/>
    </row>
    <row r="444">
      <c r="C444" s="114"/>
    </row>
    <row r="445">
      <c r="C445" s="114"/>
    </row>
    <row r="446">
      <c r="C446" s="114"/>
    </row>
    <row r="447">
      <c r="C447" s="114"/>
    </row>
    <row r="448">
      <c r="C448" s="114"/>
    </row>
    <row r="449">
      <c r="C449" s="114"/>
    </row>
    <row r="450">
      <c r="C450" s="114"/>
    </row>
    <row r="451">
      <c r="C451" s="114"/>
    </row>
    <row r="452">
      <c r="C452" s="114"/>
    </row>
    <row r="453">
      <c r="C453" s="114"/>
    </row>
    <row r="454">
      <c r="C454" s="114"/>
    </row>
    <row r="455">
      <c r="C455" s="114"/>
    </row>
    <row r="456">
      <c r="C456" s="114"/>
    </row>
    <row r="457">
      <c r="C457" s="114"/>
    </row>
    <row r="458">
      <c r="C458" s="114"/>
    </row>
    <row r="459">
      <c r="C459" s="114"/>
    </row>
    <row r="460">
      <c r="C460" s="114"/>
    </row>
    <row r="461">
      <c r="C461" s="114"/>
    </row>
    <row r="462">
      <c r="C462" s="114"/>
    </row>
    <row r="463">
      <c r="C463" s="114"/>
    </row>
    <row r="464">
      <c r="C464" s="114"/>
    </row>
    <row r="465">
      <c r="C465" s="114"/>
    </row>
    <row r="466">
      <c r="C466" s="114"/>
    </row>
    <row r="467">
      <c r="C467" s="114"/>
    </row>
    <row r="468">
      <c r="C468" s="114"/>
    </row>
    <row r="469">
      <c r="C469" s="114"/>
    </row>
    <row r="470">
      <c r="C470" s="114"/>
    </row>
    <row r="471">
      <c r="C471" s="114"/>
    </row>
    <row r="472">
      <c r="C472" s="114"/>
    </row>
    <row r="473">
      <c r="C473" s="114"/>
    </row>
    <row r="474">
      <c r="C474" s="114"/>
    </row>
    <row r="475">
      <c r="C475" s="114"/>
    </row>
    <row r="476">
      <c r="C476" s="114"/>
    </row>
    <row r="477">
      <c r="C477" s="114"/>
    </row>
    <row r="478">
      <c r="C478" s="114"/>
    </row>
    <row r="479">
      <c r="C479" s="114"/>
    </row>
    <row r="480">
      <c r="C480" s="114"/>
    </row>
    <row r="481">
      <c r="C481" s="114"/>
    </row>
    <row r="482">
      <c r="C482" s="114"/>
    </row>
    <row r="483">
      <c r="C483" s="114"/>
    </row>
    <row r="484">
      <c r="C484" s="114"/>
    </row>
    <row r="485">
      <c r="C485" s="114"/>
    </row>
    <row r="486">
      <c r="C486" s="114"/>
    </row>
    <row r="487">
      <c r="C487" s="114"/>
    </row>
    <row r="488">
      <c r="C488" s="114"/>
    </row>
    <row r="489">
      <c r="C489" s="114"/>
    </row>
    <row r="490">
      <c r="C490" s="114"/>
    </row>
    <row r="491">
      <c r="C491" s="114"/>
    </row>
    <row r="492">
      <c r="C492" s="114"/>
    </row>
    <row r="493">
      <c r="C493" s="114"/>
    </row>
    <row r="494">
      <c r="C494" s="114"/>
    </row>
    <row r="495">
      <c r="C495" s="114"/>
    </row>
    <row r="496">
      <c r="C496" s="114"/>
    </row>
    <row r="497">
      <c r="C497" s="114"/>
    </row>
    <row r="498">
      <c r="C498" s="114"/>
    </row>
    <row r="499">
      <c r="C499" s="114"/>
    </row>
    <row r="500">
      <c r="C500" s="114"/>
    </row>
    <row r="501">
      <c r="C501" s="114"/>
    </row>
    <row r="502">
      <c r="C502" s="114"/>
    </row>
    <row r="503">
      <c r="C503" s="114"/>
    </row>
    <row r="504">
      <c r="C504" s="114"/>
    </row>
    <row r="505">
      <c r="C505" s="114"/>
    </row>
    <row r="506">
      <c r="C506" s="114"/>
    </row>
    <row r="507">
      <c r="C507" s="114"/>
    </row>
    <row r="508">
      <c r="C508" s="114"/>
    </row>
    <row r="509">
      <c r="C509" s="114"/>
    </row>
    <row r="510">
      <c r="C510" s="114"/>
    </row>
    <row r="511">
      <c r="C511" s="114"/>
    </row>
    <row r="512">
      <c r="C512" s="114"/>
    </row>
    <row r="513">
      <c r="C513" s="114"/>
    </row>
    <row r="514">
      <c r="C514" s="114"/>
    </row>
    <row r="515">
      <c r="C515" s="114"/>
    </row>
    <row r="516">
      <c r="C516" s="114"/>
    </row>
    <row r="517">
      <c r="C517" s="114"/>
    </row>
    <row r="518">
      <c r="C518" s="114"/>
    </row>
    <row r="519">
      <c r="C519" s="114"/>
    </row>
    <row r="520">
      <c r="C520" s="114"/>
    </row>
    <row r="521">
      <c r="C521" s="114"/>
    </row>
    <row r="522">
      <c r="C522" s="114"/>
    </row>
    <row r="523">
      <c r="C523" s="114"/>
    </row>
    <row r="524">
      <c r="C524" s="114"/>
    </row>
    <row r="525">
      <c r="C525" s="114"/>
    </row>
    <row r="526">
      <c r="C526" s="114"/>
    </row>
    <row r="527">
      <c r="C527" s="114"/>
    </row>
    <row r="528">
      <c r="C528" s="114"/>
    </row>
    <row r="529">
      <c r="C529" s="114"/>
    </row>
    <row r="530">
      <c r="C530" s="114"/>
    </row>
    <row r="531">
      <c r="C531" s="114"/>
    </row>
    <row r="532">
      <c r="C532" s="114"/>
    </row>
    <row r="533">
      <c r="C533" s="114"/>
    </row>
    <row r="534">
      <c r="C534" s="114"/>
    </row>
    <row r="535">
      <c r="C535" s="114"/>
    </row>
    <row r="536">
      <c r="C536" s="114"/>
    </row>
    <row r="537">
      <c r="C537" s="114"/>
    </row>
    <row r="538">
      <c r="C538" s="114"/>
    </row>
    <row r="539">
      <c r="C539" s="114"/>
    </row>
    <row r="540">
      <c r="C540" s="114"/>
    </row>
    <row r="541">
      <c r="C541" s="114"/>
    </row>
    <row r="542">
      <c r="C542" s="114"/>
    </row>
    <row r="543">
      <c r="C543" s="114"/>
    </row>
    <row r="544">
      <c r="C544" s="114"/>
    </row>
    <row r="545">
      <c r="C545" s="114"/>
    </row>
    <row r="546">
      <c r="C546" s="114"/>
    </row>
    <row r="547">
      <c r="C547" s="114"/>
    </row>
    <row r="548">
      <c r="C548" s="114"/>
    </row>
    <row r="549">
      <c r="C549" s="114"/>
    </row>
    <row r="550">
      <c r="C550" s="114"/>
    </row>
    <row r="551">
      <c r="C551" s="114"/>
    </row>
    <row r="552">
      <c r="C552" s="114"/>
    </row>
    <row r="553">
      <c r="C553" s="114"/>
    </row>
    <row r="554">
      <c r="C554" s="114"/>
    </row>
    <row r="555">
      <c r="C555" s="114"/>
    </row>
    <row r="556">
      <c r="C556" s="114"/>
    </row>
    <row r="557">
      <c r="C557" s="114"/>
    </row>
    <row r="558">
      <c r="C558" s="114"/>
    </row>
    <row r="559">
      <c r="C559" s="114"/>
    </row>
    <row r="560">
      <c r="C560" s="114"/>
    </row>
    <row r="561">
      <c r="C561" s="114"/>
    </row>
    <row r="562">
      <c r="C562" s="114"/>
    </row>
    <row r="563">
      <c r="C563" s="114"/>
    </row>
    <row r="564">
      <c r="C564" s="114"/>
    </row>
    <row r="565">
      <c r="C565" s="114"/>
    </row>
    <row r="566">
      <c r="C566" s="114"/>
    </row>
    <row r="567">
      <c r="C567" s="114"/>
    </row>
    <row r="568">
      <c r="C568" s="114"/>
    </row>
    <row r="569">
      <c r="C569" s="114"/>
    </row>
    <row r="570">
      <c r="C570" s="114"/>
    </row>
    <row r="571">
      <c r="C571" s="114"/>
    </row>
    <row r="572">
      <c r="C572" s="114"/>
    </row>
    <row r="573">
      <c r="C573" s="114"/>
    </row>
    <row r="574">
      <c r="C574" s="114"/>
    </row>
    <row r="575">
      <c r="C575" s="114"/>
    </row>
    <row r="576">
      <c r="C576" s="114"/>
    </row>
    <row r="577">
      <c r="C577" s="114"/>
    </row>
    <row r="578">
      <c r="C578" s="114"/>
    </row>
    <row r="579">
      <c r="C579" s="114"/>
    </row>
    <row r="580">
      <c r="C580" s="114"/>
    </row>
    <row r="581">
      <c r="C581" s="114"/>
    </row>
    <row r="582">
      <c r="C582" s="114"/>
    </row>
    <row r="583">
      <c r="C583" s="114"/>
    </row>
    <row r="584">
      <c r="C584" s="114"/>
    </row>
    <row r="585">
      <c r="C585" s="114"/>
    </row>
    <row r="586">
      <c r="C586" s="114"/>
    </row>
    <row r="587">
      <c r="C587" s="114"/>
    </row>
    <row r="588">
      <c r="C588" s="114"/>
    </row>
    <row r="589">
      <c r="C589" s="114"/>
    </row>
    <row r="590">
      <c r="C590" s="114"/>
    </row>
    <row r="591">
      <c r="C591" s="114"/>
    </row>
    <row r="592">
      <c r="C592" s="114"/>
    </row>
    <row r="593">
      <c r="C593" s="114"/>
    </row>
    <row r="594">
      <c r="C594" s="114"/>
    </row>
    <row r="595">
      <c r="C595" s="114"/>
    </row>
    <row r="596">
      <c r="C596" s="114"/>
    </row>
    <row r="597">
      <c r="C597" s="114"/>
    </row>
    <row r="598">
      <c r="C598" s="114"/>
    </row>
    <row r="599">
      <c r="C599" s="114"/>
    </row>
    <row r="600">
      <c r="C600" s="114"/>
    </row>
    <row r="601">
      <c r="C601" s="114"/>
    </row>
    <row r="602">
      <c r="C602" s="114"/>
    </row>
    <row r="603">
      <c r="C603" s="114"/>
    </row>
    <row r="604">
      <c r="C604" s="114"/>
    </row>
    <row r="605">
      <c r="C605" s="114"/>
    </row>
    <row r="606">
      <c r="C606" s="114"/>
    </row>
    <row r="607">
      <c r="C607" s="114"/>
    </row>
    <row r="608">
      <c r="C608" s="114"/>
    </row>
    <row r="609">
      <c r="C609" s="114"/>
    </row>
    <row r="610">
      <c r="C610" s="114"/>
    </row>
    <row r="611">
      <c r="C611" s="114"/>
    </row>
    <row r="612">
      <c r="C612" s="114"/>
    </row>
    <row r="613">
      <c r="C613" s="114"/>
    </row>
    <row r="614">
      <c r="C614" s="114"/>
    </row>
    <row r="615">
      <c r="C615" s="114"/>
    </row>
    <row r="616">
      <c r="C616" s="114"/>
    </row>
    <row r="617">
      <c r="C617" s="114"/>
    </row>
    <row r="618">
      <c r="C618" s="114"/>
    </row>
    <row r="619">
      <c r="C619" s="114"/>
    </row>
    <row r="620">
      <c r="C620" s="114"/>
    </row>
    <row r="621">
      <c r="C621" s="114"/>
    </row>
    <row r="622">
      <c r="C622" s="114"/>
    </row>
    <row r="623">
      <c r="C623" s="114"/>
    </row>
    <row r="624">
      <c r="C624" s="114"/>
    </row>
    <row r="625">
      <c r="C625" s="114"/>
    </row>
    <row r="626">
      <c r="C626" s="114"/>
    </row>
    <row r="627">
      <c r="C627" s="114"/>
    </row>
    <row r="628">
      <c r="C628" s="114"/>
    </row>
    <row r="629">
      <c r="C629" s="114"/>
    </row>
    <row r="630">
      <c r="C630" s="114"/>
    </row>
    <row r="631">
      <c r="C631" s="114"/>
    </row>
    <row r="632">
      <c r="C632" s="114"/>
    </row>
    <row r="633">
      <c r="C633" s="114"/>
    </row>
    <row r="634">
      <c r="C634" s="114"/>
    </row>
    <row r="635">
      <c r="C635" s="114"/>
    </row>
    <row r="636">
      <c r="C636" s="114"/>
    </row>
    <row r="637">
      <c r="C637" s="114"/>
    </row>
    <row r="638">
      <c r="C638" s="114"/>
    </row>
    <row r="639">
      <c r="C639" s="114"/>
    </row>
    <row r="640">
      <c r="C640" s="114"/>
    </row>
    <row r="641">
      <c r="C641" s="114"/>
    </row>
    <row r="642">
      <c r="C642" s="114"/>
    </row>
    <row r="643">
      <c r="C643" s="114"/>
    </row>
    <row r="644">
      <c r="C644" s="114"/>
    </row>
    <row r="645">
      <c r="C645" s="114"/>
    </row>
    <row r="646">
      <c r="C646" s="114"/>
    </row>
    <row r="647">
      <c r="C647" s="114"/>
    </row>
    <row r="648">
      <c r="C648" s="114"/>
    </row>
    <row r="649">
      <c r="C649" s="114"/>
    </row>
    <row r="650">
      <c r="C650" s="114"/>
    </row>
    <row r="651">
      <c r="C651" s="114"/>
    </row>
    <row r="652">
      <c r="C652" s="114"/>
    </row>
    <row r="653">
      <c r="C653" s="114"/>
    </row>
    <row r="654">
      <c r="C654" s="114"/>
    </row>
    <row r="655">
      <c r="C655" s="114"/>
    </row>
    <row r="656">
      <c r="C656" s="114"/>
    </row>
    <row r="657">
      <c r="C657" s="114"/>
    </row>
    <row r="658">
      <c r="C658" s="114"/>
    </row>
    <row r="659">
      <c r="C659" s="114"/>
    </row>
    <row r="660">
      <c r="C660" s="114"/>
    </row>
    <row r="661">
      <c r="C661" s="114"/>
    </row>
    <row r="662">
      <c r="C662" s="114"/>
    </row>
    <row r="663">
      <c r="C663" s="114"/>
    </row>
    <row r="664">
      <c r="C664" s="114"/>
    </row>
    <row r="665">
      <c r="C665" s="114"/>
    </row>
    <row r="666">
      <c r="C666" s="114"/>
    </row>
    <row r="667">
      <c r="C667" s="114"/>
    </row>
    <row r="668">
      <c r="C668" s="114"/>
    </row>
    <row r="669">
      <c r="C669" s="114"/>
    </row>
    <row r="670">
      <c r="C670" s="114"/>
    </row>
    <row r="671">
      <c r="C671" s="114"/>
    </row>
    <row r="672">
      <c r="C672" s="114"/>
    </row>
    <row r="673">
      <c r="C673" s="114"/>
    </row>
    <row r="674">
      <c r="C674" s="114"/>
    </row>
    <row r="675">
      <c r="C675" s="114"/>
    </row>
    <row r="676">
      <c r="C676" s="114"/>
    </row>
    <row r="677">
      <c r="C677" s="114"/>
    </row>
    <row r="678">
      <c r="C678" s="114"/>
    </row>
    <row r="679">
      <c r="C679" s="114"/>
    </row>
    <row r="680">
      <c r="C680" s="114"/>
    </row>
    <row r="681">
      <c r="C681" s="114"/>
    </row>
    <row r="682">
      <c r="C682" s="114"/>
    </row>
    <row r="683">
      <c r="C683" s="114"/>
    </row>
    <row r="684">
      <c r="C684" s="114"/>
    </row>
    <row r="685">
      <c r="C685" s="114"/>
    </row>
    <row r="686">
      <c r="C686" s="114"/>
    </row>
    <row r="687">
      <c r="C687" s="114"/>
    </row>
    <row r="688">
      <c r="C688" s="114"/>
    </row>
    <row r="689">
      <c r="C689" s="114"/>
    </row>
    <row r="690">
      <c r="C690" s="114"/>
    </row>
    <row r="691">
      <c r="C691" s="114"/>
    </row>
    <row r="692">
      <c r="C692" s="114"/>
    </row>
    <row r="693">
      <c r="C693" s="114"/>
    </row>
    <row r="694">
      <c r="C694" s="114"/>
    </row>
    <row r="695">
      <c r="C695" s="114"/>
    </row>
    <row r="696">
      <c r="C696" s="114"/>
    </row>
    <row r="697">
      <c r="C697" s="114"/>
    </row>
    <row r="698">
      <c r="C698" s="114"/>
    </row>
    <row r="699">
      <c r="C699" s="114"/>
    </row>
    <row r="700">
      <c r="C700" s="114"/>
    </row>
    <row r="701">
      <c r="C701" s="114"/>
    </row>
    <row r="702">
      <c r="C702" s="114"/>
    </row>
    <row r="703">
      <c r="C703" s="114"/>
    </row>
    <row r="704">
      <c r="C704" s="114"/>
    </row>
    <row r="705">
      <c r="C705" s="114"/>
    </row>
    <row r="706">
      <c r="C706" s="114"/>
    </row>
    <row r="707">
      <c r="C707" s="114"/>
    </row>
    <row r="708">
      <c r="C708" s="114"/>
    </row>
    <row r="709">
      <c r="C709" s="114"/>
    </row>
    <row r="710">
      <c r="C710" s="114"/>
    </row>
    <row r="711">
      <c r="C711" s="114"/>
    </row>
    <row r="712">
      <c r="C712" s="114"/>
    </row>
    <row r="713">
      <c r="C713" s="114"/>
    </row>
    <row r="714">
      <c r="C714" s="114"/>
    </row>
    <row r="715">
      <c r="C715" s="114"/>
    </row>
    <row r="716">
      <c r="C716" s="114"/>
    </row>
    <row r="717">
      <c r="C717" s="114"/>
    </row>
    <row r="718">
      <c r="C718" s="114"/>
    </row>
    <row r="719">
      <c r="C719" s="114"/>
    </row>
    <row r="720">
      <c r="C720" s="114"/>
    </row>
    <row r="721">
      <c r="C721" s="114"/>
    </row>
    <row r="722">
      <c r="C722" s="114"/>
    </row>
    <row r="723">
      <c r="C723" s="114"/>
    </row>
    <row r="724">
      <c r="C724" s="114"/>
    </row>
    <row r="725">
      <c r="C725" s="114"/>
    </row>
    <row r="726">
      <c r="C726" s="114"/>
    </row>
    <row r="727">
      <c r="C727" s="114"/>
    </row>
    <row r="728">
      <c r="C728" s="114"/>
    </row>
    <row r="729">
      <c r="C729" s="114"/>
    </row>
    <row r="730">
      <c r="C730" s="114"/>
    </row>
    <row r="731">
      <c r="C731" s="114"/>
    </row>
    <row r="732">
      <c r="C732" s="114"/>
    </row>
    <row r="733">
      <c r="C733" s="114"/>
    </row>
    <row r="734">
      <c r="C734" s="114"/>
    </row>
    <row r="735">
      <c r="C735" s="114"/>
    </row>
    <row r="736">
      <c r="C736" s="114"/>
    </row>
    <row r="737">
      <c r="C737" s="114"/>
    </row>
    <row r="738">
      <c r="C738" s="114"/>
    </row>
    <row r="739">
      <c r="C739" s="114"/>
    </row>
    <row r="740">
      <c r="C740" s="114"/>
    </row>
    <row r="741">
      <c r="C741" s="114"/>
    </row>
    <row r="742">
      <c r="C742" s="114"/>
    </row>
    <row r="743">
      <c r="C743" s="114"/>
    </row>
    <row r="744">
      <c r="C744" s="114"/>
    </row>
    <row r="745">
      <c r="C745" s="114"/>
    </row>
    <row r="746">
      <c r="C746" s="114"/>
    </row>
    <row r="747">
      <c r="C747" s="114"/>
    </row>
    <row r="748">
      <c r="C748" s="114"/>
    </row>
    <row r="749">
      <c r="C749" s="114"/>
    </row>
    <row r="750">
      <c r="C750" s="114"/>
    </row>
    <row r="751">
      <c r="C751" s="114"/>
    </row>
    <row r="752">
      <c r="C752" s="114"/>
    </row>
    <row r="753">
      <c r="C753" s="114"/>
    </row>
    <row r="754">
      <c r="C754" s="114"/>
    </row>
    <row r="755">
      <c r="C755" s="114"/>
    </row>
    <row r="756">
      <c r="C756" s="114"/>
    </row>
    <row r="757">
      <c r="C757" s="114"/>
    </row>
    <row r="758">
      <c r="C758" s="114"/>
    </row>
    <row r="759">
      <c r="C759" s="114"/>
    </row>
    <row r="760">
      <c r="C760" s="114"/>
    </row>
    <row r="761">
      <c r="C761" s="114"/>
    </row>
    <row r="762">
      <c r="C762" s="114"/>
    </row>
    <row r="763">
      <c r="C763" s="114"/>
    </row>
    <row r="764">
      <c r="C764" s="114"/>
    </row>
    <row r="765">
      <c r="C765" s="114"/>
    </row>
    <row r="766">
      <c r="C766" s="114"/>
    </row>
    <row r="767">
      <c r="C767" s="114"/>
    </row>
    <row r="768">
      <c r="C768" s="114"/>
    </row>
    <row r="769">
      <c r="C769" s="114"/>
    </row>
    <row r="770">
      <c r="C770" s="114"/>
    </row>
    <row r="771">
      <c r="C771" s="114"/>
    </row>
    <row r="772">
      <c r="C772" s="114"/>
    </row>
    <row r="773">
      <c r="C773" s="114"/>
    </row>
    <row r="774">
      <c r="C774" s="114"/>
    </row>
    <row r="775">
      <c r="C775" s="114"/>
    </row>
    <row r="776">
      <c r="C776" s="114"/>
    </row>
    <row r="777">
      <c r="C777" s="114"/>
    </row>
    <row r="778">
      <c r="C778" s="114"/>
    </row>
    <row r="779">
      <c r="C779" s="114"/>
    </row>
    <row r="780">
      <c r="C780" s="114"/>
    </row>
    <row r="781">
      <c r="C781" s="114"/>
    </row>
    <row r="782">
      <c r="C782" s="114"/>
    </row>
    <row r="783">
      <c r="C783" s="114"/>
    </row>
    <row r="784">
      <c r="C784" s="114"/>
    </row>
    <row r="785">
      <c r="C785" s="114"/>
    </row>
    <row r="786">
      <c r="C786" s="114"/>
    </row>
    <row r="787">
      <c r="C787" s="114"/>
    </row>
    <row r="788">
      <c r="C788" s="114"/>
    </row>
    <row r="789">
      <c r="C789" s="114"/>
    </row>
    <row r="790">
      <c r="C790" s="114"/>
    </row>
    <row r="791">
      <c r="C791" s="114"/>
    </row>
    <row r="792">
      <c r="C792" s="114"/>
    </row>
    <row r="793">
      <c r="C793" s="114"/>
    </row>
    <row r="794">
      <c r="C794" s="114"/>
    </row>
    <row r="795">
      <c r="C795" s="114"/>
    </row>
    <row r="796">
      <c r="C796" s="114"/>
    </row>
    <row r="797">
      <c r="C797" s="114"/>
    </row>
    <row r="798">
      <c r="C798" s="114"/>
    </row>
    <row r="799">
      <c r="C799" s="114"/>
    </row>
    <row r="800">
      <c r="C800" s="114"/>
    </row>
    <row r="801">
      <c r="C801" s="114"/>
    </row>
    <row r="802">
      <c r="C802" s="114"/>
    </row>
    <row r="803">
      <c r="C803" s="114"/>
    </row>
    <row r="804">
      <c r="C804" s="114"/>
    </row>
    <row r="805">
      <c r="C805" s="114"/>
    </row>
    <row r="806">
      <c r="C806" s="114"/>
    </row>
    <row r="807">
      <c r="C807" s="114"/>
    </row>
    <row r="808">
      <c r="C808" s="114"/>
    </row>
    <row r="809">
      <c r="C809" s="114"/>
    </row>
    <row r="810">
      <c r="C810" s="114"/>
    </row>
    <row r="811">
      <c r="C811" s="114"/>
    </row>
    <row r="812">
      <c r="C812" s="114"/>
    </row>
    <row r="813">
      <c r="C813" s="114"/>
    </row>
    <row r="814">
      <c r="C814" s="114"/>
    </row>
    <row r="815">
      <c r="C815" s="114"/>
    </row>
    <row r="816">
      <c r="C816" s="114"/>
    </row>
    <row r="817">
      <c r="C817" s="114"/>
    </row>
    <row r="818">
      <c r="C818" s="114"/>
    </row>
    <row r="819">
      <c r="C819" s="114"/>
    </row>
    <row r="820">
      <c r="C820" s="114"/>
    </row>
    <row r="821">
      <c r="C821" s="114"/>
    </row>
    <row r="822">
      <c r="C822" s="114"/>
    </row>
    <row r="823">
      <c r="C823" s="114"/>
    </row>
    <row r="824">
      <c r="C824" s="114"/>
    </row>
    <row r="825">
      <c r="C825" s="114"/>
    </row>
    <row r="826">
      <c r="C826" s="114"/>
    </row>
    <row r="827">
      <c r="C827" s="114"/>
    </row>
    <row r="828">
      <c r="C828" s="114"/>
    </row>
    <row r="829">
      <c r="C829" s="114"/>
    </row>
    <row r="830">
      <c r="C830" s="114"/>
    </row>
    <row r="831">
      <c r="C831" s="114"/>
    </row>
    <row r="832">
      <c r="C832" s="114"/>
    </row>
    <row r="833">
      <c r="C833" s="114"/>
    </row>
    <row r="834">
      <c r="C834" s="114"/>
    </row>
    <row r="835">
      <c r="C835" s="114"/>
    </row>
    <row r="836">
      <c r="C836" s="114"/>
    </row>
    <row r="837">
      <c r="C837" s="114"/>
    </row>
    <row r="838">
      <c r="C838" s="114"/>
    </row>
    <row r="839">
      <c r="C839" s="114"/>
    </row>
    <row r="840">
      <c r="C840" s="114"/>
    </row>
    <row r="841">
      <c r="C841" s="114"/>
    </row>
    <row r="842">
      <c r="C842" s="114"/>
    </row>
    <row r="843">
      <c r="C843" s="114"/>
    </row>
    <row r="844">
      <c r="C844" s="114"/>
    </row>
    <row r="845">
      <c r="C845" s="114"/>
    </row>
    <row r="846">
      <c r="C846" s="114"/>
    </row>
    <row r="847">
      <c r="C847" s="114"/>
    </row>
    <row r="848">
      <c r="C848" s="114"/>
    </row>
    <row r="849">
      <c r="C849" s="114"/>
    </row>
    <row r="850">
      <c r="C850" s="114"/>
    </row>
    <row r="851">
      <c r="C851" s="114"/>
    </row>
    <row r="852">
      <c r="C852" s="114"/>
    </row>
    <row r="853">
      <c r="C853" s="114"/>
    </row>
    <row r="854">
      <c r="C854" s="114"/>
    </row>
    <row r="855">
      <c r="C855" s="114"/>
    </row>
    <row r="856">
      <c r="C856" s="114"/>
    </row>
    <row r="857">
      <c r="C857" s="114"/>
    </row>
    <row r="858">
      <c r="C858" s="114"/>
    </row>
    <row r="859">
      <c r="C859" s="114"/>
    </row>
    <row r="860">
      <c r="C860" s="114"/>
    </row>
    <row r="861">
      <c r="C861" s="114"/>
    </row>
    <row r="862">
      <c r="C862" s="114"/>
    </row>
    <row r="863">
      <c r="C863" s="114"/>
    </row>
    <row r="864">
      <c r="C864" s="114"/>
    </row>
    <row r="865">
      <c r="C865" s="114"/>
    </row>
    <row r="866">
      <c r="C866" s="114"/>
    </row>
    <row r="867">
      <c r="C867" s="114"/>
    </row>
    <row r="868">
      <c r="C868" s="114"/>
    </row>
    <row r="869">
      <c r="C869" s="114"/>
    </row>
    <row r="870">
      <c r="C870" s="114"/>
    </row>
    <row r="871">
      <c r="C871" s="114"/>
    </row>
    <row r="872">
      <c r="C872" s="114"/>
    </row>
    <row r="873">
      <c r="C873" s="114"/>
    </row>
    <row r="874">
      <c r="C874" s="114"/>
    </row>
    <row r="875">
      <c r="C875" s="114"/>
    </row>
    <row r="876">
      <c r="C876" s="114"/>
    </row>
    <row r="877">
      <c r="C877" s="114"/>
    </row>
    <row r="878">
      <c r="C878" s="114"/>
    </row>
    <row r="879">
      <c r="C879" s="114"/>
    </row>
    <row r="880">
      <c r="C880" s="114"/>
    </row>
    <row r="881">
      <c r="C881" s="114"/>
    </row>
    <row r="882">
      <c r="C882" s="114"/>
    </row>
    <row r="883">
      <c r="C883" s="114"/>
    </row>
    <row r="884">
      <c r="C884" s="114"/>
    </row>
    <row r="885">
      <c r="C885" s="114"/>
    </row>
    <row r="886">
      <c r="C886" s="114"/>
    </row>
    <row r="887">
      <c r="C887" s="114"/>
    </row>
    <row r="888">
      <c r="C888" s="114"/>
    </row>
    <row r="889">
      <c r="C889" s="114"/>
    </row>
    <row r="890">
      <c r="C890" s="114"/>
    </row>
    <row r="891">
      <c r="C891" s="114"/>
    </row>
    <row r="892">
      <c r="C892" s="114"/>
    </row>
    <row r="893">
      <c r="C893" s="114"/>
    </row>
    <row r="894">
      <c r="C894" s="114"/>
    </row>
    <row r="895">
      <c r="C895" s="114"/>
    </row>
    <row r="896">
      <c r="C896" s="114"/>
    </row>
    <row r="897">
      <c r="C897" s="114"/>
    </row>
    <row r="898">
      <c r="C898" s="114"/>
    </row>
    <row r="899">
      <c r="C899" s="114"/>
    </row>
    <row r="900">
      <c r="C900" s="114"/>
    </row>
    <row r="901">
      <c r="C901" s="114"/>
    </row>
    <row r="902">
      <c r="C902" s="114"/>
    </row>
    <row r="903">
      <c r="C903" s="114"/>
    </row>
    <row r="904">
      <c r="C904" s="114"/>
    </row>
    <row r="905">
      <c r="C905" s="114"/>
    </row>
  </sheetData>
  <mergeCells count="8">
    <mergeCell ref="A3:C3"/>
    <mergeCell ref="A8:C8"/>
    <mergeCell ref="A10:C10"/>
    <mergeCell ref="A15:C15"/>
    <mergeCell ref="A20:C20"/>
    <mergeCell ref="A24:C24"/>
    <mergeCell ref="A27:C27"/>
    <mergeCell ref="A31:C31"/>
  </mergeCells>
  <hyperlinks>
    <hyperlink r:id="rId1" ref="L2"/>
    <hyperlink r:id="rId2" ref="L4"/>
    <hyperlink r:id="rId3" ref="L5"/>
    <hyperlink r:id="rId4" ref="L6"/>
    <hyperlink r:id="rId5" ref="L7"/>
    <hyperlink r:id="rId6" ref="L9"/>
    <hyperlink r:id="rId7" ref="L11"/>
    <hyperlink r:id="rId8" ref="L12"/>
    <hyperlink r:id="rId9" ref="L13"/>
    <hyperlink r:id="rId10" ref="L14"/>
    <hyperlink r:id="rId11" ref="L16"/>
    <hyperlink r:id="rId12" ref="L17"/>
    <hyperlink r:id="rId13" ref="L18"/>
    <hyperlink r:id="rId14" ref="L19"/>
    <hyperlink r:id="rId15" ref="L21"/>
    <hyperlink r:id="rId16" ref="L22"/>
    <hyperlink r:id="rId17" ref="L23"/>
    <hyperlink r:id="rId18" ref="L25"/>
    <hyperlink r:id="rId19" ref="L26"/>
    <hyperlink r:id="rId20" ref="L28"/>
    <hyperlink r:id="rId21" ref="L29"/>
    <hyperlink r:id="rId22" ref="L30"/>
  </hyperlinks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8.38"/>
    <col customWidth="1" min="3" max="3" width="35.0"/>
  </cols>
  <sheetData>
    <row r="1" ht="41.25" customHeight="1">
      <c r="A1" s="132" t="s">
        <v>157</v>
      </c>
      <c r="B1" s="132" t="s">
        <v>2</v>
      </c>
      <c r="C1" s="133" t="s">
        <v>4</v>
      </c>
      <c r="D1" s="134" t="s">
        <v>5</v>
      </c>
      <c r="E1" s="132" t="s">
        <v>6</v>
      </c>
      <c r="F1" s="134" t="s">
        <v>7</v>
      </c>
      <c r="G1" s="134" t="s">
        <v>8</v>
      </c>
      <c r="H1" s="134" t="s">
        <v>9</v>
      </c>
      <c r="I1" s="134" t="s">
        <v>10</v>
      </c>
      <c r="J1" s="132" t="s">
        <v>11</v>
      </c>
      <c r="K1" s="132" t="s">
        <v>12</v>
      </c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</row>
    <row r="2" outlineLevel="1">
      <c r="A2" s="136">
        <v>1.0</v>
      </c>
      <c r="B2" s="137">
        <v>45685.0</v>
      </c>
      <c r="C2" s="138" t="s">
        <v>37</v>
      </c>
      <c r="D2" s="139">
        <v>472.0</v>
      </c>
      <c r="E2" s="139">
        <v>0.0</v>
      </c>
      <c r="F2" s="139">
        <v>0.0</v>
      </c>
      <c r="G2" s="139">
        <v>1.0</v>
      </c>
      <c r="H2" s="139">
        <v>2.0</v>
      </c>
      <c r="I2" s="23">
        <f>SUM(E2:H2)</f>
        <v>3</v>
      </c>
      <c r="J2" s="24">
        <f>I2/D2</f>
        <v>0.006355932203</v>
      </c>
      <c r="K2" s="9">
        <v>2.0</v>
      </c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</row>
    <row r="3" ht="26.25" customHeight="1" outlineLevel="1">
      <c r="A3" s="140" t="s">
        <v>36</v>
      </c>
      <c r="B3" s="15"/>
      <c r="C3" s="17"/>
      <c r="D3" s="141">
        <f t="shared" ref="D3:I3" si="1">sum(D2)</f>
        <v>472</v>
      </c>
      <c r="E3" s="141">
        <f t="shared" si="1"/>
        <v>0</v>
      </c>
      <c r="F3" s="141">
        <f t="shared" si="1"/>
        <v>0</v>
      </c>
      <c r="G3" s="141">
        <f t="shared" si="1"/>
        <v>1</v>
      </c>
      <c r="H3" s="141">
        <f t="shared" si="1"/>
        <v>2</v>
      </c>
      <c r="I3" s="141">
        <f t="shared" si="1"/>
        <v>3</v>
      </c>
      <c r="J3" s="142">
        <f>sum(I3/D3)</f>
        <v>0.006355932203</v>
      </c>
      <c r="K3" s="141">
        <f>sum(K2)</f>
        <v>2</v>
      </c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</row>
    <row r="4" outlineLevel="1">
      <c r="A4" s="136">
        <v>1.0</v>
      </c>
      <c r="B4" s="137">
        <v>45691.0</v>
      </c>
      <c r="C4" s="138" t="s">
        <v>39</v>
      </c>
      <c r="D4" s="139">
        <v>11585.0</v>
      </c>
      <c r="E4" s="139">
        <v>22.0</v>
      </c>
      <c r="F4" s="139">
        <v>0.0</v>
      </c>
      <c r="G4" s="139">
        <v>62.0</v>
      </c>
      <c r="H4" s="139">
        <v>365.0</v>
      </c>
      <c r="I4" s="23">
        <f t="shared" ref="I4:I8" si="2">SUM(E4:H4)</f>
        <v>449</v>
      </c>
      <c r="J4" s="24">
        <f t="shared" ref="J4:J8" si="3">I4/D4</f>
        <v>0.03875701338</v>
      </c>
      <c r="K4" s="9">
        <v>59.0</v>
      </c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</row>
    <row r="5" outlineLevel="1">
      <c r="A5" s="9">
        <v>2.0</v>
      </c>
      <c r="B5" s="137">
        <v>45694.0</v>
      </c>
      <c r="C5" s="138" t="s">
        <v>45</v>
      </c>
      <c r="D5" s="139">
        <v>937.0</v>
      </c>
      <c r="E5" s="139">
        <v>1.0</v>
      </c>
      <c r="F5" s="139">
        <v>0.0</v>
      </c>
      <c r="G5" s="139">
        <v>3.0</v>
      </c>
      <c r="H5" s="139">
        <v>0.0</v>
      </c>
      <c r="I5" s="23">
        <f t="shared" si="2"/>
        <v>4</v>
      </c>
      <c r="J5" s="24">
        <f t="shared" si="3"/>
        <v>0.004268943436</v>
      </c>
      <c r="K5" s="9">
        <v>0.0</v>
      </c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</row>
    <row r="6" outlineLevel="1">
      <c r="A6" s="9">
        <v>3.0</v>
      </c>
      <c r="B6" s="137">
        <v>45696.0</v>
      </c>
      <c r="C6" s="138" t="s">
        <v>48</v>
      </c>
      <c r="D6" s="139">
        <v>449.0</v>
      </c>
      <c r="E6" s="139">
        <v>4.0</v>
      </c>
      <c r="F6" s="139">
        <v>1.0</v>
      </c>
      <c r="G6" s="139">
        <v>4.0</v>
      </c>
      <c r="H6" s="139">
        <v>2.0</v>
      </c>
      <c r="I6" s="23">
        <f t="shared" si="2"/>
        <v>11</v>
      </c>
      <c r="J6" s="24">
        <f t="shared" si="3"/>
        <v>0.02449888641</v>
      </c>
      <c r="K6" s="9">
        <v>0.0</v>
      </c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</row>
    <row r="7" outlineLevel="1">
      <c r="A7" s="9">
        <v>4.0</v>
      </c>
      <c r="B7" s="137">
        <v>45701.0</v>
      </c>
      <c r="C7" s="138" t="s">
        <v>53</v>
      </c>
      <c r="D7" s="139">
        <v>460.0</v>
      </c>
      <c r="E7" s="139">
        <v>2.0</v>
      </c>
      <c r="F7" s="139">
        <v>0.0</v>
      </c>
      <c r="G7" s="139">
        <v>1.0</v>
      </c>
      <c r="H7" s="139">
        <v>2.0</v>
      </c>
      <c r="I7" s="23">
        <f t="shared" si="2"/>
        <v>5</v>
      </c>
      <c r="J7" s="24">
        <f t="shared" si="3"/>
        <v>0.01086956522</v>
      </c>
      <c r="K7" s="9">
        <v>0.0</v>
      </c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</row>
    <row r="8" outlineLevel="1">
      <c r="A8" s="9">
        <v>5.0</v>
      </c>
      <c r="B8" s="137">
        <v>45705.0</v>
      </c>
      <c r="C8" s="138" t="s">
        <v>56</v>
      </c>
      <c r="D8" s="139">
        <v>480.0</v>
      </c>
      <c r="E8" s="139">
        <v>0.0</v>
      </c>
      <c r="F8" s="139">
        <v>0.0</v>
      </c>
      <c r="G8" s="139">
        <v>1.0</v>
      </c>
      <c r="H8" s="139">
        <v>0.0</v>
      </c>
      <c r="I8" s="23">
        <f t="shared" si="2"/>
        <v>1</v>
      </c>
      <c r="J8" s="24">
        <f t="shared" si="3"/>
        <v>0.002083333333</v>
      </c>
      <c r="K8" s="9">
        <v>1.0</v>
      </c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</row>
    <row r="9" outlineLevel="1">
      <c r="A9" s="140" t="s">
        <v>54</v>
      </c>
      <c r="B9" s="15"/>
      <c r="C9" s="17"/>
      <c r="D9" s="141">
        <f t="shared" ref="D9:I9" si="4">sum(D4:D8)</f>
        <v>13911</v>
      </c>
      <c r="E9" s="141">
        <f t="shared" si="4"/>
        <v>29</v>
      </c>
      <c r="F9" s="141">
        <f t="shared" si="4"/>
        <v>1</v>
      </c>
      <c r="G9" s="141">
        <f t="shared" si="4"/>
        <v>71</v>
      </c>
      <c r="H9" s="141">
        <f t="shared" si="4"/>
        <v>369</v>
      </c>
      <c r="I9" s="141">
        <f t="shared" si="4"/>
        <v>470</v>
      </c>
      <c r="J9" s="142">
        <f>sum(I9/D9)</f>
        <v>0.03378621235</v>
      </c>
      <c r="K9" s="141">
        <f>sum(K4:K8)</f>
        <v>60</v>
      </c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</row>
    <row r="10" outlineLevel="1">
      <c r="A10" s="136">
        <v>1.0</v>
      </c>
      <c r="B10" s="137">
        <v>45722.0</v>
      </c>
      <c r="C10" s="138" t="s">
        <v>63</v>
      </c>
      <c r="D10" s="139">
        <v>500.0</v>
      </c>
      <c r="E10" s="139">
        <v>2.0</v>
      </c>
      <c r="F10" s="139">
        <v>0.0</v>
      </c>
      <c r="G10" s="139">
        <v>4.0</v>
      </c>
      <c r="H10" s="139">
        <v>13.0</v>
      </c>
      <c r="I10" s="23">
        <f t="shared" ref="I10:I14" si="5">SUM(E10:H10)</f>
        <v>19</v>
      </c>
      <c r="J10" s="24">
        <f t="shared" ref="J10:J14" si="6">I10/D10</f>
        <v>0.038</v>
      </c>
      <c r="K10" s="9">
        <v>2.0</v>
      </c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</row>
    <row r="11" outlineLevel="1">
      <c r="A11" s="9">
        <v>2.0</v>
      </c>
      <c r="B11" s="137">
        <v>45729.0</v>
      </c>
      <c r="C11" s="138" t="s">
        <v>65</v>
      </c>
      <c r="D11" s="139">
        <v>11177.0</v>
      </c>
      <c r="E11" s="139">
        <v>131.0</v>
      </c>
      <c r="F11" s="139">
        <v>6.0</v>
      </c>
      <c r="G11" s="139">
        <v>159.0</v>
      </c>
      <c r="H11" s="139">
        <v>258.0</v>
      </c>
      <c r="I11" s="23">
        <f t="shared" si="5"/>
        <v>554</v>
      </c>
      <c r="J11" s="24">
        <f t="shared" si="6"/>
        <v>0.04956607319</v>
      </c>
      <c r="K11" s="9">
        <v>46.0</v>
      </c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</row>
    <row r="12" outlineLevel="1">
      <c r="A12" s="9">
        <v>3.0</v>
      </c>
      <c r="B12" s="137">
        <v>45735.0</v>
      </c>
      <c r="C12" s="138" t="s">
        <v>67</v>
      </c>
      <c r="D12" s="139">
        <v>472.0</v>
      </c>
      <c r="E12" s="139">
        <v>6.0</v>
      </c>
      <c r="F12" s="139">
        <v>0.0</v>
      </c>
      <c r="G12" s="139">
        <v>5.0</v>
      </c>
      <c r="H12" s="139">
        <v>6.0</v>
      </c>
      <c r="I12" s="23">
        <f t="shared" si="5"/>
        <v>17</v>
      </c>
      <c r="J12" s="24">
        <f t="shared" si="6"/>
        <v>0.03601694915</v>
      </c>
      <c r="K12" s="9">
        <v>0.0</v>
      </c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</row>
    <row r="13" outlineLevel="1">
      <c r="A13" s="9">
        <v>4.0</v>
      </c>
      <c r="B13" s="137">
        <v>45736.0</v>
      </c>
      <c r="C13" s="138" t="s">
        <v>68</v>
      </c>
      <c r="D13" s="139">
        <v>1851.0</v>
      </c>
      <c r="E13" s="139">
        <v>17.0</v>
      </c>
      <c r="F13" s="139">
        <v>0.0</v>
      </c>
      <c r="G13" s="139">
        <v>19.0</v>
      </c>
      <c r="H13" s="139">
        <v>15.0</v>
      </c>
      <c r="I13" s="23">
        <f t="shared" si="5"/>
        <v>51</v>
      </c>
      <c r="J13" s="24">
        <f t="shared" si="6"/>
        <v>0.02755267423</v>
      </c>
      <c r="K13" s="9">
        <v>4.0</v>
      </c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</row>
    <row r="14" outlineLevel="1">
      <c r="A14" s="9">
        <v>5.0</v>
      </c>
      <c r="B14" s="137">
        <v>45747.0</v>
      </c>
      <c r="C14" s="138" t="s">
        <v>73</v>
      </c>
      <c r="D14" s="139">
        <v>410.0</v>
      </c>
      <c r="E14" s="139">
        <v>6.0</v>
      </c>
      <c r="F14" s="139">
        <v>1.0</v>
      </c>
      <c r="G14" s="139">
        <v>3.0</v>
      </c>
      <c r="H14" s="139">
        <v>23.0</v>
      </c>
      <c r="I14" s="23">
        <f t="shared" si="5"/>
        <v>33</v>
      </c>
      <c r="J14" s="24">
        <f t="shared" si="6"/>
        <v>0.08048780488</v>
      </c>
      <c r="K14" s="9">
        <v>0.0</v>
      </c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</row>
    <row r="15" outlineLevel="1">
      <c r="A15" s="140" t="s">
        <v>60</v>
      </c>
      <c r="B15" s="15"/>
      <c r="C15" s="17"/>
      <c r="D15" s="141">
        <f t="shared" ref="D15:I15" si="7">sum(D10:D14)</f>
        <v>14410</v>
      </c>
      <c r="E15" s="141">
        <f t="shared" si="7"/>
        <v>162</v>
      </c>
      <c r="F15" s="141">
        <f t="shared" si="7"/>
        <v>7</v>
      </c>
      <c r="G15" s="141">
        <f t="shared" si="7"/>
        <v>190</v>
      </c>
      <c r="H15" s="141">
        <f t="shared" si="7"/>
        <v>315</v>
      </c>
      <c r="I15" s="141">
        <f t="shared" si="7"/>
        <v>674</v>
      </c>
      <c r="J15" s="142">
        <f>sum(I15/D15)</f>
        <v>0.04677307425</v>
      </c>
      <c r="K15" s="141">
        <f>sum(K10:K14)</f>
        <v>52</v>
      </c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</row>
    <row r="16" outlineLevel="1">
      <c r="A16" s="50">
        <v>1.0</v>
      </c>
      <c r="B16" s="51">
        <v>46129.0</v>
      </c>
      <c r="C16" s="50" t="s">
        <v>81</v>
      </c>
      <c r="D16" s="139">
        <v>648.0</v>
      </c>
      <c r="E16" s="139">
        <v>1.0</v>
      </c>
      <c r="F16" s="139">
        <v>0.0</v>
      </c>
      <c r="G16" s="139">
        <v>2.0</v>
      </c>
      <c r="H16" s="139">
        <v>5.0</v>
      </c>
      <c r="I16" s="139">
        <f t="shared" ref="I16:I18" si="8">SUM(E16:H16)</f>
        <v>8</v>
      </c>
      <c r="J16" s="56">
        <f t="shared" ref="J16:J38" si="9">I16/D16</f>
        <v>0.01234567901</v>
      </c>
      <c r="K16" s="50">
        <v>2.0</v>
      </c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</row>
    <row r="17" outlineLevel="1">
      <c r="A17" s="50">
        <v>2.0</v>
      </c>
      <c r="B17" s="51">
        <v>46133.0</v>
      </c>
      <c r="C17" s="50" t="s">
        <v>82</v>
      </c>
      <c r="D17" s="139">
        <v>665.0</v>
      </c>
      <c r="E17" s="139">
        <v>1.0</v>
      </c>
      <c r="F17" s="139">
        <v>0.0</v>
      </c>
      <c r="G17" s="139">
        <v>2.0</v>
      </c>
      <c r="H17" s="139">
        <v>7.0</v>
      </c>
      <c r="I17" s="139">
        <f t="shared" si="8"/>
        <v>10</v>
      </c>
      <c r="J17" s="56">
        <f t="shared" si="9"/>
        <v>0.01503759398</v>
      </c>
      <c r="K17" s="50">
        <v>0.0</v>
      </c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</row>
    <row r="18" outlineLevel="1">
      <c r="A18" s="50">
        <v>3.0</v>
      </c>
      <c r="B18" s="51">
        <v>46142.0</v>
      </c>
      <c r="C18" s="50" t="s">
        <v>158</v>
      </c>
      <c r="D18" s="139">
        <v>1366.0</v>
      </c>
      <c r="E18" s="139">
        <v>51.0</v>
      </c>
      <c r="F18" s="139">
        <v>0.0</v>
      </c>
      <c r="G18" s="139">
        <v>21.0</v>
      </c>
      <c r="H18" s="139">
        <v>28.0</v>
      </c>
      <c r="I18" s="139">
        <f t="shared" si="8"/>
        <v>100</v>
      </c>
      <c r="J18" s="56">
        <f t="shared" si="9"/>
        <v>0.07320644217</v>
      </c>
      <c r="K18" s="50">
        <v>7.0</v>
      </c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</row>
    <row r="19" outlineLevel="1">
      <c r="A19" s="143" t="s">
        <v>80</v>
      </c>
      <c r="B19" s="15"/>
      <c r="C19" s="17"/>
      <c r="D19" s="144">
        <f t="shared" ref="D19:I19" si="10">SUM(D16:D18)</f>
        <v>2679</v>
      </c>
      <c r="E19" s="144">
        <f t="shared" si="10"/>
        <v>53</v>
      </c>
      <c r="F19" s="144">
        <f t="shared" si="10"/>
        <v>0</v>
      </c>
      <c r="G19" s="144">
        <f t="shared" si="10"/>
        <v>25</v>
      </c>
      <c r="H19" s="144">
        <f t="shared" si="10"/>
        <v>40</v>
      </c>
      <c r="I19" s="144">
        <f t="shared" si="10"/>
        <v>118</v>
      </c>
      <c r="J19" s="145">
        <f t="shared" si="9"/>
        <v>0.04404628593</v>
      </c>
      <c r="K19" s="146">
        <f>SUM(K16:K18)</f>
        <v>9</v>
      </c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</row>
    <row r="20" outlineLevel="1">
      <c r="A20" s="50">
        <v>1.0</v>
      </c>
      <c r="B20" s="77">
        <v>46173.0</v>
      </c>
      <c r="C20" s="50" t="s">
        <v>159</v>
      </c>
      <c r="D20" s="139">
        <v>4338.0</v>
      </c>
      <c r="E20" s="139">
        <v>1.0</v>
      </c>
      <c r="F20" s="139">
        <v>0.0</v>
      </c>
      <c r="G20" s="139">
        <v>2.0</v>
      </c>
      <c r="H20" s="139">
        <v>1.0</v>
      </c>
      <c r="I20" s="139">
        <f t="shared" ref="I20:I22" si="11">SUM(E20:H20)</f>
        <v>4</v>
      </c>
      <c r="J20" s="56">
        <f t="shared" si="9"/>
        <v>0.0009220839096</v>
      </c>
      <c r="K20" s="50">
        <v>3.0</v>
      </c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</row>
    <row r="21" outlineLevel="1">
      <c r="A21" s="50">
        <v>2.0</v>
      </c>
      <c r="B21" s="77">
        <v>46173.0</v>
      </c>
      <c r="C21" s="50" t="s">
        <v>107</v>
      </c>
      <c r="D21" s="139">
        <v>2320.0</v>
      </c>
      <c r="E21" s="139">
        <v>1.0</v>
      </c>
      <c r="F21" s="139">
        <v>0.0</v>
      </c>
      <c r="G21" s="139">
        <v>1.0</v>
      </c>
      <c r="H21" s="139">
        <v>4.0</v>
      </c>
      <c r="I21" s="139">
        <f t="shared" si="11"/>
        <v>6</v>
      </c>
      <c r="J21" s="56">
        <f t="shared" si="9"/>
        <v>0.002586206897</v>
      </c>
      <c r="K21" s="50">
        <v>0.0</v>
      </c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</row>
    <row r="22" outlineLevel="1">
      <c r="A22" s="50">
        <v>3.0</v>
      </c>
      <c r="B22" s="77">
        <v>46173.0</v>
      </c>
      <c r="C22" s="50" t="s">
        <v>160</v>
      </c>
      <c r="D22" s="139">
        <v>285.0</v>
      </c>
      <c r="E22" s="139">
        <v>1.0</v>
      </c>
      <c r="F22" s="139">
        <v>0.0</v>
      </c>
      <c r="G22" s="139">
        <v>2.0</v>
      </c>
      <c r="H22" s="139">
        <v>0.0</v>
      </c>
      <c r="I22" s="139">
        <f t="shared" si="11"/>
        <v>3</v>
      </c>
      <c r="J22" s="56">
        <f t="shared" si="9"/>
        <v>0.01052631579</v>
      </c>
      <c r="K22" s="50">
        <v>0.0</v>
      </c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</row>
    <row r="23" outlineLevel="1">
      <c r="A23" s="143" t="s">
        <v>110</v>
      </c>
      <c r="B23" s="15"/>
      <c r="C23" s="17"/>
      <c r="D23" s="144">
        <f t="shared" ref="D23:I23" si="12">SUM(D20:D22)</f>
        <v>6943</v>
      </c>
      <c r="E23" s="144">
        <f t="shared" si="12"/>
        <v>3</v>
      </c>
      <c r="F23" s="144">
        <f t="shared" si="12"/>
        <v>0</v>
      </c>
      <c r="G23" s="144">
        <f t="shared" si="12"/>
        <v>5</v>
      </c>
      <c r="H23" s="144">
        <f t="shared" si="12"/>
        <v>5</v>
      </c>
      <c r="I23" s="144">
        <f t="shared" si="12"/>
        <v>13</v>
      </c>
      <c r="J23" s="145">
        <f t="shared" si="9"/>
        <v>0.001872389457</v>
      </c>
      <c r="K23" s="146">
        <f>SUM(K20:K22)</f>
        <v>3</v>
      </c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</row>
    <row r="24" outlineLevel="1">
      <c r="A24" s="50">
        <v>1.0</v>
      </c>
      <c r="B24" s="51">
        <v>46178.0</v>
      </c>
      <c r="C24" s="50" t="s">
        <v>122</v>
      </c>
      <c r="D24" s="139">
        <v>2179.0</v>
      </c>
      <c r="E24" s="139">
        <v>1.0</v>
      </c>
      <c r="F24" s="139">
        <v>0.0</v>
      </c>
      <c r="G24" s="139">
        <v>5.0</v>
      </c>
      <c r="H24" s="139">
        <v>9.0</v>
      </c>
      <c r="I24" s="139">
        <f t="shared" ref="I24:I27" si="13">E24+F24+G24+H24</f>
        <v>15</v>
      </c>
      <c r="J24" s="56">
        <f t="shared" si="9"/>
        <v>0.006883891693</v>
      </c>
      <c r="K24" s="50">
        <v>1.0</v>
      </c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</row>
    <row r="25" outlineLevel="1">
      <c r="A25" s="50">
        <v>2.0</v>
      </c>
      <c r="B25" s="51">
        <v>46183.0</v>
      </c>
      <c r="C25" s="50" t="s">
        <v>112</v>
      </c>
      <c r="D25" s="139">
        <v>2382.0</v>
      </c>
      <c r="E25" s="139">
        <v>0.0</v>
      </c>
      <c r="F25" s="139">
        <v>0.0</v>
      </c>
      <c r="G25" s="139">
        <v>4.0</v>
      </c>
      <c r="H25" s="139">
        <v>1.0</v>
      </c>
      <c r="I25" s="139">
        <f t="shared" si="13"/>
        <v>5</v>
      </c>
      <c r="J25" s="56">
        <f t="shared" si="9"/>
        <v>0.002099076406</v>
      </c>
      <c r="K25" s="50">
        <v>1.0</v>
      </c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</row>
    <row r="26" outlineLevel="1">
      <c r="A26" s="50">
        <v>3.0</v>
      </c>
      <c r="B26" s="51">
        <v>46191.0</v>
      </c>
      <c r="C26" s="50" t="s">
        <v>126</v>
      </c>
      <c r="D26" s="139">
        <v>1560.0</v>
      </c>
      <c r="E26" s="139">
        <v>0.0</v>
      </c>
      <c r="F26" s="139">
        <v>0.0</v>
      </c>
      <c r="G26" s="139">
        <v>5.0</v>
      </c>
      <c r="H26" s="139">
        <v>0.0</v>
      </c>
      <c r="I26" s="139">
        <f t="shared" si="13"/>
        <v>5</v>
      </c>
      <c r="J26" s="56">
        <f t="shared" si="9"/>
        <v>0.003205128205</v>
      </c>
      <c r="K26" s="50">
        <v>0.0</v>
      </c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</row>
    <row r="27" outlineLevel="1">
      <c r="A27" s="50">
        <v>4.0</v>
      </c>
      <c r="B27" s="51">
        <v>46197.0</v>
      </c>
      <c r="C27" s="50" t="s">
        <v>128</v>
      </c>
      <c r="D27" s="139">
        <v>4047.0</v>
      </c>
      <c r="E27" s="139">
        <v>3.0</v>
      </c>
      <c r="F27" s="139">
        <v>0.0</v>
      </c>
      <c r="G27" s="139">
        <v>4.0</v>
      </c>
      <c r="H27" s="139">
        <v>2.0</v>
      </c>
      <c r="I27" s="139">
        <f t="shared" si="13"/>
        <v>9</v>
      </c>
      <c r="J27" s="56">
        <f t="shared" si="9"/>
        <v>0.002223869533</v>
      </c>
      <c r="K27" s="50">
        <v>1.0</v>
      </c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</row>
    <row r="28" outlineLevel="1">
      <c r="A28" s="143" t="s">
        <v>120</v>
      </c>
      <c r="B28" s="15"/>
      <c r="C28" s="17"/>
      <c r="D28" s="147">
        <f t="shared" ref="D28:I28" si="14">SUM(D24:D27)</f>
        <v>10168</v>
      </c>
      <c r="E28" s="147">
        <f t="shared" si="14"/>
        <v>4</v>
      </c>
      <c r="F28" s="147">
        <f t="shared" si="14"/>
        <v>0</v>
      </c>
      <c r="G28" s="147">
        <f t="shared" si="14"/>
        <v>18</v>
      </c>
      <c r="H28" s="147">
        <f t="shared" si="14"/>
        <v>12</v>
      </c>
      <c r="I28" s="147">
        <f t="shared" si="14"/>
        <v>34</v>
      </c>
      <c r="J28" s="148">
        <f t="shared" si="9"/>
        <v>0.003343823761</v>
      </c>
      <c r="K28" s="149">
        <f>SUM(K24:K27)</f>
        <v>3</v>
      </c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</row>
    <row r="29">
      <c r="A29" s="50">
        <v>1.0</v>
      </c>
      <c r="B29" s="51">
        <v>46207.0</v>
      </c>
      <c r="C29" s="50" t="s">
        <v>161</v>
      </c>
      <c r="D29" s="139">
        <v>2244.0</v>
      </c>
      <c r="E29" s="139">
        <v>1.0</v>
      </c>
      <c r="F29" s="139">
        <v>0.0</v>
      </c>
      <c r="G29" s="139">
        <v>7.0</v>
      </c>
      <c r="H29" s="139">
        <v>0.0</v>
      </c>
      <c r="I29" s="139">
        <f t="shared" ref="I29:I33" si="15">E29+F29+G29+H29</f>
        <v>8</v>
      </c>
      <c r="J29" s="56">
        <f t="shared" si="9"/>
        <v>0.003565062389</v>
      </c>
      <c r="K29" s="50">
        <v>0.0</v>
      </c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</row>
    <row r="30">
      <c r="A30" s="50">
        <v>2.0</v>
      </c>
      <c r="B30" s="51">
        <v>46210.0</v>
      </c>
      <c r="C30" s="50" t="s">
        <v>135</v>
      </c>
      <c r="D30" s="139">
        <v>2821.0</v>
      </c>
      <c r="E30" s="139">
        <v>2.0</v>
      </c>
      <c r="F30" s="139">
        <v>0.0</v>
      </c>
      <c r="G30" s="139">
        <v>3.0</v>
      </c>
      <c r="H30" s="139">
        <v>8.0</v>
      </c>
      <c r="I30" s="139">
        <f t="shared" si="15"/>
        <v>13</v>
      </c>
      <c r="J30" s="56">
        <f t="shared" si="9"/>
        <v>0.004608294931</v>
      </c>
      <c r="K30" s="50">
        <v>3.0</v>
      </c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</row>
    <row r="31">
      <c r="A31" s="50">
        <v>3.0</v>
      </c>
      <c r="B31" s="51">
        <v>46213.0</v>
      </c>
      <c r="C31" s="50" t="s">
        <v>137</v>
      </c>
      <c r="D31" s="139">
        <v>3190.0</v>
      </c>
      <c r="E31" s="139">
        <v>6.0</v>
      </c>
      <c r="F31" s="139">
        <v>0.0</v>
      </c>
      <c r="G31" s="139">
        <v>7.0</v>
      </c>
      <c r="H31" s="139">
        <v>16.0</v>
      </c>
      <c r="I31" s="139">
        <f t="shared" si="15"/>
        <v>29</v>
      </c>
      <c r="J31" s="56">
        <f t="shared" si="9"/>
        <v>0.009090909091</v>
      </c>
      <c r="K31" s="50">
        <v>0.0</v>
      </c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</row>
    <row r="32">
      <c r="A32" s="50">
        <v>4.0</v>
      </c>
      <c r="B32" s="51">
        <v>46219.0</v>
      </c>
      <c r="C32" s="50" t="s">
        <v>138</v>
      </c>
      <c r="D32" s="139">
        <v>2833.0</v>
      </c>
      <c r="E32" s="139">
        <v>0.0</v>
      </c>
      <c r="F32" s="139">
        <v>0.0</v>
      </c>
      <c r="G32" s="139">
        <v>5.0</v>
      </c>
      <c r="H32" s="139">
        <v>1.0</v>
      </c>
      <c r="I32" s="139">
        <f t="shared" si="15"/>
        <v>6</v>
      </c>
      <c r="J32" s="56">
        <f t="shared" si="9"/>
        <v>0.002117896223</v>
      </c>
      <c r="K32" s="50">
        <v>0.0</v>
      </c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</row>
    <row r="33">
      <c r="A33" s="50">
        <v>5.0</v>
      </c>
      <c r="B33" s="51">
        <v>46233.0</v>
      </c>
      <c r="C33" s="50" t="s">
        <v>142</v>
      </c>
      <c r="D33" s="139">
        <v>25.0</v>
      </c>
      <c r="E33" s="139">
        <v>0.0</v>
      </c>
      <c r="F33" s="139">
        <v>0.0</v>
      </c>
      <c r="G33" s="139">
        <v>0.0</v>
      </c>
      <c r="H33" s="139">
        <v>1.0</v>
      </c>
      <c r="I33" s="139">
        <f t="shared" si="15"/>
        <v>1</v>
      </c>
      <c r="J33" s="56">
        <f t="shared" si="9"/>
        <v>0.04</v>
      </c>
      <c r="K33" s="50">
        <v>1.0</v>
      </c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</row>
    <row r="34">
      <c r="A34" s="143" t="s">
        <v>130</v>
      </c>
      <c r="B34" s="15"/>
      <c r="C34" s="17"/>
      <c r="D34" s="150">
        <f t="shared" ref="D34:I34" si="16">SUM(D29:D33)</f>
        <v>11113</v>
      </c>
      <c r="E34" s="150">
        <f t="shared" si="16"/>
        <v>9</v>
      </c>
      <c r="F34" s="150">
        <f t="shared" si="16"/>
        <v>0</v>
      </c>
      <c r="G34" s="150">
        <f t="shared" si="16"/>
        <v>22</v>
      </c>
      <c r="H34" s="150">
        <f t="shared" si="16"/>
        <v>26</v>
      </c>
      <c r="I34" s="150">
        <f t="shared" si="16"/>
        <v>57</v>
      </c>
      <c r="J34" s="148">
        <f t="shared" si="9"/>
        <v>0.005129128048</v>
      </c>
      <c r="K34" s="149">
        <f>SUM(K29:K33)</f>
        <v>4</v>
      </c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</row>
    <row r="35">
      <c r="A35" s="50">
        <v>1.0</v>
      </c>
      <c r="B35" s="51">
        <v>46237.0</v>
      </c>
      <c r="C35" s="50" t="s">
        <v>143</v>
      </c>
      <c r="D35" s="151">
        <v>4333.0</v>
      </c>
      <c r="E35" s="50">
        <v>2.0</v>
      </c>
      <c r="F35" s="50">
        <v>0.0</v>
      </c>
      <c r="G35" s="50">
        <v>4.0</v>
      </c>
      <c r="H35" s="50">
        <v>3.0</v>
      </c>
      <c r="I35" s="54">
        <f t="shared" ref="I35:I37" si="17">SUM(E35:H35)</f>
        <v>9</v>
      </c>
      <c r="J35" s="56">
        <f t="shared" si="9"/>
        <v>0.002077082853</v>
      </c>
      <c r="K35" s="79">
        <v>1.0</v>
      </c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</row>
    <row r="36">
      <c r="A36" s="50">
        <v>2.0</v>
      </c>
      <c r="B36" s="51">
        <v>46241.0</v>
      </c>
      <c r="C36" s="152" t="s">
        <v>145</v>
      </c>
      <c r="D36" s="151">
        <v>3839.0</v>
      </c>
      <c r="E36" s="50">
        <v>3.0</v>
      </c>
      <c r="F36" s="50">
        <v>3.0</v>
      </c>
      <c r="G36" s="50">
        <v>12.0</v>
      </c>
      <c r="H36" s="50">
        <v>23.0</v>
      </c>
      <c r="I36" s="54">
        <f t="shared" si="17"/>
        <v>41</v>
      </c>
      <c r="J36" s="56">
        <f t="shared" si="9"/>
        <v>0.01067986455</v>
      </c>
      <c r="K36" s="79">
        <v>2.0</v>
      </c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</row>
    <row r="37">
      <c r="A37" s="50">
        <v>3.0</v>
      </c>
      <c r="B37" s="51">
        <v>46254.0</v>
      </c>
      <c r="C37" s="153" t="s">
        <v>162</v>
      </c>
      <c r="D37" s="151">
        <v>3667.0</v>
      </c>
      <c r="E37" s="50">
        <v>14.0</v>
      </c>
      <c r="F37" s="50">
        <v>0.0</v>
      </c>
      <c r="G37" s="50">
        <v>8.0</v>
      </c>
      <c r="H37" s="50">
        <v>3.0</v>
      </c>
      <c r="I37" s="54">
        <f t="shared" si="17"/>
        <v>25</v>
      </c>
      <c r="J37" s="56">
        <f t="shared" si="9"/>
        <v>0.00681756204</v>
      </c>
      <c r="K37" s="79">
        <v>0.0</v>
      </c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</row>
    <row r="38">
      <c r="A38" s="143" t="s">
        <v>141</v>
      </c>
      <c r="B38" s="15"/>
      <c r="C38" s="17"/>
      <c r="D38" s="144">
        <f t="shared" ref="D38:I38" si="18">SUM(D35:D37)</f>
        <v>11839</v>
      </c>
      <c r="E38" s="146">
        <f t="shared" si="18"/>
        <v>19</v>
      </c>
      <c r="F38" s="146">
        <f t="shared" si="18"/>
        <v>3</v>
      </c>
      <c r="G38" s="146">
        <f t="shared" si="18"/>
        <v>24</v>
      </c>
      <c r="H38" s="146">
        <f t="shared" si="18"/>
        <v>29</v>
      </c>
      <c r="I38" s="146">
        <f t="shared" si="18"/>
        <v>75</v>
      </c>
      <c r="J38" s="145">
        <f t="shared" si="9"/>
        <v>0.00633499451</v>
      </c>
      <c r="K38" s="146">
        <f>SUM(K35:K37)</f>
        <v>3</v>
      </c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</row>
    <row r="39">
      <c r="A39" s="101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</row>
    <row r="40">
      <c r="A40" s="101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</row>
    <row r="4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</row>
    <row r="42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</row>
    <row r="43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</row>
    <row r="44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</row>
    <row r="4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</row>
    <row r="46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</row>
    <row r="47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</row>
    <row r="48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</row>
    <row r="49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</row>
    <row r="50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</row>
    <row r="5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</row>
    <row r="52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</row>
    <row r="53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</row>
    <row r="54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</row>
    <row r="55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</row>
    <row r="56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</row>
    <row r="57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</row>
    <row r="58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</row>
    <row r="59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</row>
    <row r="60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</row>
    <row r="6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</row>
    <row r="62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</row>
    <row r="63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</row>
    <row r="64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</row>
    <row r="65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</row>
    <row r="66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</row>
    <row r="67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</row>
    <row r="68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</row>
    <row r="69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</row>
    <row r="70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</row>
    <row r="7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</row>
    <row r="72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</row>
    <row r="73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</row>
    <row r="74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</row>
    <row r="75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</row>
    <row r="76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</row>
    <row r="77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</row>
    <row r="78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</row>
    <row r="79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</row>
    <row r="80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</row>
    <row r="8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</row>
    <row r="82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</row>
    <row r="83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</row>
    <row r="84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</row>
    <row r="85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</row>
    <row r="86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</row>
    <row r="87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</row>
    <row r="88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</row>
    <row r="89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</row>
    <row r="90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</row>
    <row r="9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</row>
    <row r="92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</row>
    <row r="93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</row>
    <row r="94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</row>
    <row r="95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</row>
    <row r="96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</row>
    <row r="97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</row>
    <row r="98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</row>
    <row r="99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</row>
    <row r="100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</row>
    <row r="101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</row>
    <row r="102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</row>
    <row r="103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</row>
    <row r="104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</row>
    <row r="105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</row>
    <row r="106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</row>
    <row r="107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</row>
    <row r="108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</row>
    <row r="109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</row>
    <row r="110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</row>
    <row r="111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</row>
    <row r="112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</row>
    <row r="113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</row>
    <row r="114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</row>
    <row r="115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</row>
    <row r="116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</row>
    <row r="117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</row>
    <row r="118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</row>
    <row r="119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</row>
    <row r="120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</row>
    <row r="121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</row>
    <row r="122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</row>
    <row r="123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</row>
    <row r="124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</row>
    <row r="125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</row>
    <row r="126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</row>
    <row r="127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</row>
    <row r="128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</row>
    <row r="129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</row>
    <row r="130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</row>
    <row r="131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</row>
    <row r="132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</row>
    <row r="133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</row>
    <row r="134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</row>
    <row r="135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</row>
    <row r="136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</row>
    <row r="137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</row>
    <row r="138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</row>
    <row r="139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</row>
    <row r="140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</row>
    <row r="14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</row>
    <row r="142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</row>
    <row r="143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</row>
    <row r="144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</row>
    <row r="145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</row>
    <row r="146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</row>
    <row r="147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</row>
    <row r="148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</row>
    <row r="149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</row>
    <row r="150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</row>
    <row r="15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</row>
    <row r="152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</row>
    <row r="153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</row>
    <row r="154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</row>
    <row r="155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</row>
    <row r="156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</row>
    <row r="157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</row>
    <row r="158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</row>
    <row r="159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</row>
    <row r="160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</row>
    <row r="16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</row>
    <row r="162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</row>
    <row r="163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</row>
    <row r="164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</row>
    <row r="165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</row>
    <row r="166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</row>
    <row r="167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</row>
    <row r="168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</row>
    <row r="169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</row>
    <row r="170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</row>
    <row r="17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</row>
    <row r="172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</row>
    <row r="173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</row>
    <row r="174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</row>
    <row r="175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</row>
    <row r="176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</row>
    <row r="177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</row>
    <row r="178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</row>
    <row r="179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</row>
    <row r="180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</row>
    <row r="18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</row>
    <row r="182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</row>
    <row r="183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</row>
    <row r="184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</row>
    <row r="185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</row>
    <row r="186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</row>
    <row r="187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</row>
    <row r="188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</row>
    <row r="189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</row>
    <row r="190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</row>
    <row r="19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</row>
    <row r="192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</row>
    <row r="193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</row>
    <row r="194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</row>
    <row r="195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</row>
    <row r="196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</row>
    <row r="197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</row>
    <row r="198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</row>
    <row r="199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</row>
    <row r="200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</row>
    <row r="20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</row>
    <row r="202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</row>
    <row r="203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</row>
    <row r="204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</row>
    <row r="205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</row>
    <row r="206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</row>
    <row r="207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</row>
    <row r="208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</row>
    <row r="209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</row>
    <row r="210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</row>
    <row r="21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</row>
    <row r="212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</row>
    <row r="213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</row>
    <row r="214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</row>
    <row r="215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</row>
    <row r="216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</row>
    <row r="217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</row>
    <row r="218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</row>
    <row r="219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</row>
    <row r="220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</row>
    <row r="22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</row>
    <row r="222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</row>
    <row r="223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</row>
    <row r="224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</row>
    <row r="225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</row>
    <row r="226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</row>
    <row r="227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</row>
    <row r="228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</row>
    <row r="229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</row>
    <row r="230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</row>
    <row r="23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</row>
    <row r="232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</row>
    <row r="233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</row>
    <row r="234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</row>
    <row r="235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</row>
    <row r="236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</row>
    <row r="237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</row>
    <row r="238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</row>
    <row r="239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</row>
    <row r="240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</row>
    <row r="241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</row>
    <row r="242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</row>
    <row r="243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</row>
    <row r="244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</row>
    <row r="245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</row>
    <row r="246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</row>
    <row r="247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</row>
    <row r="248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</row>
    <row r="249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</row>
    <row r="250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</row>
    <row r="251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</row>
    <row r="252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</row>
    <row r="253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</row>
    <row r="254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</row>
    <row r="255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</row>
    <row r="256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</row>
    <row r="257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</row>
    <row r="258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</row>
    <row r="259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</row>
    <row r="260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</row>
    <row r="261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</row>
    <row r="262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</row>
    <row r="263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</row>
    <row r="264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</row>
    <row r="265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</row>
    <row r="266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</row>
    <row r="267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</row>
    <row r="268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</row>
    <row r="269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</row>
    <row r="270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</row>
    <row r="271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</row>
    <row r="272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</row>
    <row r="273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</row>
    <row r="274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</row>
    <row r="275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</row>
    <row r="276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</row>
    <row r="277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</row>
    <row r="278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</row>
    <row r="279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</row>
    <row r="280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</row>
    <row r="281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</row>
    <row r="282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</row>
    <row r="283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</row>
    <row r="284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</row>
    <row r="285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</row>
    <row r="286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</row>
    <row r="287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</row>
    <row r="288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</row>
    <row r="289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</row>
    <row r="290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</row>
    <row r="291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</row>
    <row r="292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</row>
    <row r="293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</row>
    <row r="294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</row>
    <row r="295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</row>
    <row r="296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</row>
    <row r="297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</row>
    <row r="298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</row>
    <row r="299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</row>
    <row r="300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</row>
    <row r="301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</row>
    <row r="302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</row>
    <row r="303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</row>
    <row r="304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</row>
    <row r="305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</row>
    <row r="306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</row>
    <row r="307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</row>
    <row r="308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</row>
    <row r="309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</row>
    <row r="310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</row>
    <row r="311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</row>
    <row r="312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</row>
    <row r="313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</row>
    <row r="314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</row>
    <row r="315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</row>
    <row r="316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</row>
    <row r="317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</row>
    <row r="318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</row>
    <row r="319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</row>
    <row r="320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</row>
    <row r="321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</row>
    <row r="322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</row>
    <row r="323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</row>
    <row r="324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</row>
    <row r="325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</row>
    <row r="326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</row>
    <row r="327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</row>
    <row r="328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</row>
    <row r="329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</row>
    <row r="330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</row>
    <row r="331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</row>
    <row r="332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</row>
    <row r="333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</row>
    <row r="334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</row>
    <row r="335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</row>
    <row r="336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</row>
    <row r="337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</row>
    <row r="338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</row>
    <row r="339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</row>
    <row r="340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</row>
    <row r="341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</row>
    <row r="342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</row>
    <row r="343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</row>
    <row r="344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</row>
    <row r="345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</row>
    <row r="346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</row>
    <row r="347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</row>
    <row r="348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</row>
    <row r="349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</row>
    <row r="350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</row>
    <row r="351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</row>
    <row r="352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</row>
    <row r="353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</row>
    <row r="354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</row>
    <row r="355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</row>
    <row r="356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</row>
    <row r="357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</row>
    <row r="358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</row>
    <row r="359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</row>
    <row r="360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</row>
    <row r="361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</row>
    <row r="362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</row>
    <row r="363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</row>
    <row r="364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</row>
    <row r="365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</row>
    <row r="366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</row>
    <row r="367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</row>
    <row r="368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</row>
    <row r="369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</row>
    <row r="370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</row>
    <row r="371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</row>
    <row r="372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</row>
    <row r="373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</row>
    <row r="374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</row>
    <row r="375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</row>
    <row r="376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</row>
    <row r="377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</row>
    <row r="378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</row>
    <row r="379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</row>
    <row r="380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</row>
    <row r="381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</row>
    <row r="382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</row>
    <row r="383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</row>
    <row r="384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</row>
    <row r="385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</row>
    <row r="386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</row>
    <row r="387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</row>
    <row r="388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</row>
    <row r="389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</row>
    <row r="390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</row>
    <row r="391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</row>
    <row r="392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</row>
    <row r="393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</row>
    <row r="394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</row>
    <row r="395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</row>
    <row r="396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</row>
    <row r="397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</row>
    <row r="398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</row>
    <row r="399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</row>
    <row r="400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</row>
    <row r="401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</row>
    <row r="402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</row>
    <row r="403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</row>
    <row r="404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</row>
    <row r="405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</row>
    <row r="406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</row>
    <row r="407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</row>
    <row r="408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</row>
    <row r="409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</row>
    <row r="410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</row>
    <row r="411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</row>
    <row r="412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</row>
    <row r="413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</row>
    <row r="414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</row>
    <row r="415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</row>
    <row r="416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</row>
    <row r="417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</row>
    <row r="418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</row>
    <row r="419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</row>
    <row r="420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</row>
    <row r="421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</row>
    <row r="422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</row>
    <row r="423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</row>
    <row r="424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</row>
    <row r="425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</row>
    <row r="426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</row>
    <row r="427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</row>
    <row r="428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</row>
    <row r="429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</row>
    <row r="430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</row>
    <row r="431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</row>
    <row r="432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</row>
    <row r="433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</row>
    <row r="434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</row>
    <row r="435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</row>
    <row r="436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</row>
    <row r="437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</row>
    <row r="438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</row>
    <row r="439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</row>
    <row r="440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</row>
    <row r="441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</row>
    <row r="442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</row>
    <row r="443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</row>
    <row r="444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</row>
    <row r="445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</row>
    <row r="446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</row>
    <row r="447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</row>
    <row r="448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</row>
    <row r="449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</row>
    <row r="450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</row>
    <row r="451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</row>
    <row r="452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</row>
    <row r="453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</row>
    <row r="454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</row>
    <row r="455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</row>
    <row r="456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</row>
    <row r="457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</row>
    <row r="458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</row>
    <row r="459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</row>
    <row r="460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</row>
    <row r="461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</row>
    <row r="462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</row>
    <row r="463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</row>
    <row r="464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</row>
    <row r="465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</row>
    <row r="466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</row>
    <row r="467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</row>
    <row r="468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</row>
    <row r="469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</row>
    <row r="470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</row>
    <row r="471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</row>
    <row r="472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</row>
    <row r="473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</row>
    <row r="474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</row>
    <row r="475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</row>
    <row r="476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</row>
    <row r="477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</row>
    <row r="478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</row>
    <row r="479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</row>
    <row r="480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</row>
    <row r="481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</row>
    <row r="482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</row>
    <row r="483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</row>
    <row r="484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</row>
    <row r="485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</row>
    <row r="486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</row>
    <row r="487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</row>
    <row r="488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</row>
    <row r="489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</row>
    <row r="490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</row>
    <row r="491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</row>
    <row r="492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</row>
    <row r="493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</row>
    <row r="494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</row>
    <row r="495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</row>
    <row r="496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</row>
    <row r="497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</row>
    <row r="498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</row>
    <row r="499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</row>
    <row r="500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</row>
    <row r="501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</row>
    <row r="502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</row>
    <row r="503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</row>
    <row r="504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</row>
    <row r="505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</row>
    <row r="506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</row>
    <row r="507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</row>
    <row r="508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</row>
    <row r="509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</row>
    <row r="510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</row>
    <row r="511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</row>
    <row r="512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</row>
    <row r="513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</row>
    <row r="514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</row>
    <row r="515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</row>
    <row r="516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</row>
    <row r="517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</row>
    <row r="518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</row>
    <row r="519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</row>
    <row r="520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</row>
    <row r="521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</row>
    <row r="522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</row>
    <row r="523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</row>
    <row r="524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</row>
    <row r="525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</row>
    <row r="526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</row>
    <row r="527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</row>
    <row r="528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</row>
    <row r="529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</row>
    <row r="530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</row>
    <row r="531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</row>
    <row r="532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</row>
    <row r="533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</row>
    <row r="534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</row>
    <row r="535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</row>
    <row r="536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</row>
    <row r="537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</row>
    <row r="538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</row>
    <row r="539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</row>
    <row r="540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</row>
    <row r="541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</row>
    <row r="542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</row>
    <row r="543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</row>
    <row r="544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</row>
    <row r="545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</row>
    <row r="546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</row>
    <row r="547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</row>
    <row r="548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</row>
    <row r="549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</row>
    <row r="550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</row>
    <row r="551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</row>
    <row r="552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</row>
    <row r="553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</row>
    <row r="554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</row>
    <row r="555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</row>
    <row r="556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</row>
    <row r="557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</row>
    <row r="558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</row>
    <row r="559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</row>
    <row r="560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</row>
    <row r="561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</row>
    <row r="562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</row>
    <row r="563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</row>
    <row r="564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</row>
    <row r="565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</row>
    <row r="566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</row>
    <row r="567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</row>
    <row r="568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</row>
    <row r="569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</row>
    <row r="570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</row>
    <row r="571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</row>
    <row r="572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</row>
    <row r="573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</row>
    <row r="574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</row>
    <row r="575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</row>
    <row r="576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</row>
    <row r="577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</row>
    <row r="578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</row>
    <row r="579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</row>
    <row r="580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</row>
    <row r="581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</row>
    <row r="582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</row>
    <row r="583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</row>
    <row r="584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</row>
    <row r="585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</row>
    <row r="586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</row>
    <row r="587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</row>
    <row r="588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</row>
    <row r="589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</row>
    <row r="590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</row>
    <row r="591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</row>
    <row r="592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</row>
    <row r="593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</row>
    <row r="594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</row>
    <row r="595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</row>
    <row r="596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</row>
    <row r="597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</row>
    <row r="598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</row>
    <row r="599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</row>
    <row r="600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</row>
    <row r="601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</row>
    <row r="602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</row>
    <row r="603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</row>
    <row r="604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</row>
    <row r="605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</row>
    <row r="606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</row>
    <row r="607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</row>
    <row r="608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</row>
    <row r="609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</row>
    <row r="610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</row>
    <row r="611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</row>
    <row r="612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</row>
    <row r="613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</row>
    <row r="614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</row>
    <row r="615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</row>
    <row r="616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</row>
    <row r="617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</row>
    <row r="618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</row>
    <row r="619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</row>
    <row r="620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</row>
    <row r="621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</row>
    <row r="622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</row>
    <row r="623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</row>
    <row r="624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</row>
    <row r="625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</row>
    <row r="626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</row>
    <row r="627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</row>
    <row r="628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</row>
    <row r="629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</row>
    <row r="630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</row>
    <row r="631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</row>
    <row r="632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</row>
    <row r="633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</row>
    <row r="634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</row>
    <row r="635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</row>
    <row r="636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</row>
    <row r="637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</row>
    <row r="638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</row>
    <row r="639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</row>
    <row r="640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</row>
    <row r="641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</row>
    <row r="642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</row>
    <row r="643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</row>
    <row r="644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</row>
    <row r="645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</row>
    <row r="646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</row>
    <row r="647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</row>
    <row r="648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</row>
    <row r="649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</row>
    <row r="650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</row>
    <row r="651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</row>
    <row r="652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</row>
    <row r="653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</row>
    <row r="654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</row>
    <row r="655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</row>
    <row r="656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</row>
    <row r="657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</row>
    <row r="658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</row>
    <row r="659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</row>
    <row r="660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</row>
    <row r="661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</row>
    <row r="662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</row>
    <row r="663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</row>
    <row r="664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</row>
    <row r="665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</row>
    <row r="666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</row>
    <row r="667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</row>
    <row r="668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</row>
    <row r="669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</row>
    <row r="670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</row>
    <row r="671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</row>
    <row r="672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</row>
    <row r="673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</row>
    <row r="674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</row>
    <row r="675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</row>
    <row r="676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</row>
    <row r="677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</row>
    <row r="678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</row>
    <row r="679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</row>
    <row r="680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</row>
    <row r="681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</row>
    <row r="682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</row>
    <row r="683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</row>
    <row r="684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</row>
    <row r="685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</row>
    <row r="686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</row>
    <row r="687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</row>
    <row r="688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</row>
    <row r="689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</row>
    <row r="690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</row>
    <row r="691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</row>
    <row r="692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</row>
    <row r="693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</row>
    <row r="694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</row>
    <row r="695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</row>
    <row r="696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</row>
    <row r="697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</row>
    <row r="698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</row>
    <row r="699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</row>
    <row r="700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</row>
    <row r="701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</row>
    <row r="702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</row>
    <row r="703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</row>
    <row r="704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</row>
    <row r="705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</row>
    <row r="706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</row>
    <row r="707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</row>
    <row r="708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</row>
    <row r="709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</row>
    <row r="710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</row>
    <row r="711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</row>
    <row r="712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</row>
    <row r="713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</row>
    <row r="714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</row>
    <row r="715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</row>
    <row r="716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</row>
    <row r="717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</row>
    <row r="718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</row>
    <row r="719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</row>
    <row r="720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</row>
    <row r="721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</row>
    <row r="722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</row>
    <row r="723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</row>
    <row r="724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</row>
    <row r="725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</row>
    <row r="726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</row>
    <row r="727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</row>
    <row r="728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</row>
    <row r="729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</row>
    <row r="730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</row>
    <row r="731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</row>
    <row r="732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</row>
    <row r="733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</row>
    <row r="734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</row>
    <row r="735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</row>
    <row r="736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</row>
    <row r="737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</row>
    <row r="738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</row>
    <row r="739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</row>
    <row r="740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</row>
    <row r="741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</row>
    <row r="742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</row>
    <row r="743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</row>
    <row r="744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</row>
    <row r="745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</row>
    <row r="746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</row>
    <row r="747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</row>
    <row r="748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</row>
    <row r="749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</row>
    <row r="750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</row>
    <row r="751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</row>
    <row r="752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</row>
    <row r="753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</row>
    <row r="754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</row>
    <row r="755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</row>
    <row r="756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</row>
    <row r="757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</row>
    <row r="758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</row>
    <row r="759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</row>
    <row r="760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</row>
    <row r="761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</row>
    <row r="762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</row>
    <row r="763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</row>
    <row r="764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</row>
    <row r="765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</row>
    <row r="766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</row>
    <row r="767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</row>
    <row r="768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</row>
    <row r="769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</row>
    <row r="770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</row>
    <row r="771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</row>
    <row r="772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</row>
    <row r="773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</row>
    <row r="774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</row>
    <row r="775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</row>
    <row r="776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</row>
    <row r="777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</row>
    <row r="778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</row>
    <row r="779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</row>
    <row r="780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</row>
    <row r="781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</row>
    <row r="782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</row>
    <row r="783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</row>
    <row r="784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</row>
    <row r="785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</row>
    <row r="786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</row>
    <row r="787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</row>
    <row r="788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</row>
    <row r="789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</row>
    <row r="790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</row>
    <row r="791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</row>
    <row r="792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</row>
    <row r="793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</row>
    <row r="794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</row>
    <row r="795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</row>
    <row r="796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</row>
    <row r="797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</row>
    <row r="798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</row>
    <row r="799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</row>
    <row r="800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</row>
    <row r="801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</row>
    <row r="802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</row>
    <row r="803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</row>
    <row r="804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</row>
    <row r="805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</row>
    <row r="806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</row>
    <row r="807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</row>
    <row r="808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</row>
    <row r="809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</row>
    <row r="810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</row>
    <row r="811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</row>
    <row r="812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</row>
    <row r="813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</row>
    <row r="814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</row>
    <row r="815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</row>
    <row r="816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</row>
    <row r="817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</row>
    <row r="818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</row>
    <row r="819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</row>
    <row r="820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</row>
    <row r="821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</row>
    <row r="822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</row>
    <row r="823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</row>
    <row r="824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</row>
    <row r="825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</row>
    <row r="826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</row>
    <row r="827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</row>
    <row r="828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</row>
    <row r="829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</row>
    <row r="830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</row>
    <row r="831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</row>
    <row r="832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</row>
    <row r="833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</row>
    <row r="834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</row>
    <row r="835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</row>
    <row r="836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</row>
    <row r="837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</row>
    <row r="838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</row>
    <row r="839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</row>
    <row r="840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</row>
    <row r="841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</row>
    <row r="842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</row>
    <row r="843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</row>
    <row r="844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</row>
    <row r="845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</row>
    <row r="846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</row>
    <row r="847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</row>
    <row r="848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</row>
    <row r="849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</row>
    <row r="850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</row>
    <row r="851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</row>
    <row r="852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</row>
    <row r="853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</row>
    <row r="854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</row>
    <row r="855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</row>
    <row r="856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</row>
    <row r="857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</row>
    <row r="858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</row>
    <row r="859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</row>
    <row r="860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</row>
    <row r="861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</row>
    <row r="862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</row>
    <row r="863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</row>
    <row r="864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</row>
    <row r="865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</row>
    <row r="866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</row>
    <row r="867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</row>
    <row r="868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</row>
    <row r="869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</row>
    <row r="870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</row>
    <row r="871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</row>
    <row r="872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</row>
    <row r="873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</row>
    <row r="874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</row>
    <row r="875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</row>
    <row r="876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</row>
    <row r="877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</row>
    <row r="878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</row>
    <row r="879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</row>
    <row r="880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</row>
    <row r="881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</row>
    <row r="882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</row>
    <row r="883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</row>
    <row r="884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</row>
    <row r="885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</row>
    <row r="886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</row>
    <row r="887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</row>
    <row r="888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</row>
    <row r="889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</row>
    <row r="890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</row>
    <row r="891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</row>
    <row r="892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</row>
    <row r="893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</row>
    <row r="894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</row>
    <row r="895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</row>
    <row r="896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</row>
    <row r="897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</row>
    <row r="898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</row>
    <row r="899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</row>
    <row r="900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</row>
    <row r="901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</row>
    <row r="902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</row>
    <row r="903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</row>
    <row r="904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</row>
    <row r="905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</row>
    <row r="906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</row>
    <row r="907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</row>
    <row r="908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</row>
    <row r="909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</row>
  </sheetData>
  <mergeCells count="8">
    <mergeCell ref="A3:C3"/>
    <mergeCell ref="A9:C9"/>
    <mergeCell ref="A15:C15"/>
    <mergeCell ref="A19:C19"/>
    <mergeCell ref="A23:C23"/>
    <mergeCell ref="A28:C28"/>
    <mergeCell ref="A34:C34"/>
    <mergeCell ref="A38:C3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10.88"/>
    <col customWidth="1" min="3" max="3" width="34.5"/>
  </cols>
  <sheetData>
    <row r="1" ht="41.25" customHeight="1">
      <c r="A1" s="154" t="s">
        <v>163</v>
      </c>
      <c r="B1" s="155" t="s">
        <v>2</v>
      </c>
      <c r="C1" s="156" t="s">
        <v>4</v>
      </c>
      <c r="D1" s="154" t="s">
        <v>5</v>
      </c>
      <c r="E1" s="154" t="s">
        <v>8</v>
      </c>
      <c r="F1" s="154" t="s">
        <v>9</v>
      </c>
      <c r="G1" s="154" t="s">
        <v>7</v>
      </c>
      <c r="H1" s="154" t="s">
        <v>14</v>
      </c>
      <c r="I1" s="154" t="s">
        <v>10</v>
      </c>
      <c r="J1" s="155" t="s">
        <v>11</v>
      </c>
    </row>
    <row r="2" outlineLevel="1">
      <c r="A2" s="136">
        <v>1.0</v>
      </c>
      <c r="B2" s="137">
        <v>45685.0</v>
      </c>
      <c r="C2" s="12" t="s">
        <v>37</v>
      </c>
      <c r="D2" s="139">
        <v>3705.0</v>
      </c>
      <c r="E2" s="139">
        <v>96.0</v>
      </c>
      <c r="F2" s="139">
        <v>7.0</v>
      </c>
      <c r="G2" s="139">
        <v>8.0</v>
      </c>
      <c r="H2" s="139">
        <v>15.0</v>
      </c>
      <c r="I2" s="23">
        <f>SUM(E2:H2)</f>
        <v>126</v>
      </c>
      <c r="J2" s="24">
        <f t="shared" ref="J2:J16" si="2">SUM(I2/D2)</f>
        <v>0.03400809717</v>
      </c>
    </row>
    <row r="3" ht="26.25" customHeight="1" outlineLevel="1">
      <c r="A3" s="157" t="s">
        <v>36</v>
      </c>
      <c r="B3" s="15"/>
      <c r="C3" s="17"/>
      <c r="D3" s="158">
        <f t="shared" ref="D3:I3" si="1">SUM(D2)</f>
        <v>3705</v>
      </c>
      <c r="E3" s="158">
        <f t="shared" si="1"/>
        <v>96</v>
      </c>
      <c r="F3" s="158">
        <f t="shared" si="1"/>
        <v>7</v>
      </c>
      <c r="G3" s="158">
        <f t="shared" si="1"/>
        <v>8</v>
      </c>
      <c r="H3" s="158">
        <f t="shared" si="1"/>
        <v>15</v>
      </c>
      <c r="I3" s="158">
        <f t="shared" si="1"/>
        <v>126</v>
      </c>
      <c r="J3" s="159">
        <f t="shared" si="2"/>
        <v>0.03400809717</v>
      </c>
    </row>
    <row r="4" outlineLevel="1">
      <c r="A4" s="136">
        <v>1.0</v>
      </c>
      <c r="B4" s="137">
        <v>45691.0</v>
      </c>
      <c r="C4" s="12" t="s">
        <v>39</v>
      </c>
      <c r="D4" s="139">
        <v>2070.0</v>
      </c>
      <c r="E4" s="139">
        <v>585.0</v>
      </c>
      <c r="F4" s="139">
        <v>12.0</v>
      </c>
      <c r="G4" s="139">
        <v>2.0</v>
      </c>
      <c r="H4" s="139">
        <v>12.0</v>
      </c>
      <c r="I4" s="23">
        <f t="shared" ref="I4:I9" si="3">SUM(E4:H4)</f>
        <v>611</v>
      </c>
      <c r="J4" s="24">
        <f t="shared" si="2"/>
        <v>0.2951690821</v>
      </c>
    </row>
    <row r="5" outlineLevel="1">
      <c r="A5" s="9">
        <v>2.0</v>
      </c>
      <c r="B5" s="137">
        <v>45694.0</v>
      </c>
      <c r="C5" s="12" t="s">
        <v>45</v>
      </c>
      <c r="D5" s="139">
        <v>1485.0</v>
      </c>
      <c r="E5" s="139">
        <v>328.0</v>
      </c>
      <c r="F5" s="139">
        <v>1.0</v>
      </c>
      <c r="G5" s="139">
        <v>2.0</v>
      </c>
      <c r="H5" s="139">
        <v>7.0</v>
      </c>
      <c r="I5" s="23">
        <f t="shared" si="3"/>
        <v>338</v>
      </c>
      <c r="J5" s="24">
        <f t="shared" si="2"/>
        <v>0.2276094276</v>
      </c>
    </row>
    <row r="6" outlineLevel="1">
      <c r="A6" s="9">
        <v>3.0</v>
      </c>
      <c r="B6" s="137">
        <v>45696.0</v>
      </c>
      <c r="C6" s="12" t="s">
        <v>48</v>
      </c>
      <c r="D6" s="139">
        <v>688.0</v>
      </c>
      <c r="E6" s="139">
        <v>314.0</v>
      </c>
      <c r="F6" s="139">
        <v>0.0</v>
      </c>
      <c r="G6" s="139">
        <v>1.0</v>
      </c>
      <c r="H6" s="139">
        <v>17.0</v>
      </c>
      <c r="I6" s="23">
        <f t="shared" si="3"/>
        <v>332</v>
      </c>
      <c r="J6" s="24">
        <f t="shared" si="2"/>
        <v>0.4825581395</v>
      </c>
    </row>
    <row r="7" outlineLevel="1">
      <c r="A7" s="9">
        <v>4.0</v>
      </c>
      <c r="B7" s="137">
        <v>45701.0</v>
      </c>
      <c r="C7" s="12" t="s">
        <v>53</v>
      </c>
      <c r="D7" s="139">
        <v>445.0</v>
      </c>
      <c r="E7" s="139">
        <v>168.0</v>
      </c>
      <c r="F7" s="139">
        <v>0.0</v>
      </c>
      <c r="G7" s="139">
        <v>0.0</v>
      </c>
      <c r="H7" s="139">
        <v>9.0</v>
      </c>
      <c r="I7" s="23">
        <f t="shared" si="3"/>
        <v>177</v>
      </c>
      <c r="J7" s="24">
        <f t="shared" si="2"/>
        <v>0.397752809</v>
      </c>
    </row>
    <row r="8" outlineLevel="1">
      <c r="A8" s="9">
        <v>5.0</v>
      </c>
      <c r="B8" s="137">
        <v>45705.0</v>
      </c>
      <c r="C8" s="12" t="s">
        <v>56</v>
      </c>
      <c r="D8" s="139">
        <v>4953.0</v>
      </c>
      <c r="E8" s="139">
        <v>475.0</v>
      </c>
      <c r="F8" s="139">
        <v>1.0</v>
      </c>
      <c r="G8" s="139">
        <v>5.0</v>
      </c>
      <c r="H8" s="139">
        <v>26.0</v>
      </c>
      <c r="I8" s="23">
        <f t="shared" si="3"/>
        <v>507</v>
      </c>
      <c r="J8" s="24">
        <f t="shared" si="2"/>
        <v>0.1023622047</v>
      </c>
    </row>
    <row r="9" outlineLevel="1">
      <c r="A9" s="9">
        <v>6.0</v>
      </c>
      <c r="B9" s="137">
        <v>45705.0</v>
      </c>
      <c r="C9" s="12" t="s">
        <v>46</v>
      </c>
      <c r="D9" s="139">
        <v>925.0</v>
      </c>
      <c r="E9" s="139">
        <v>151.0</v>
      </c>
      <c r="F9" s="139">
        <v>0.0</v>
      </c>
      <c r="G9" s="139">
        <v>2.0</v>
      </c>
      <c r="H9" s="139">
        <v>4.0</v>
      </c>
      <c r="I9" s="23">
        <f t="shared" si="3"/>
        <v>157</v>
      </c>
      <c r="J9" s="24">
        <f t="shared" si="2"/>
        <v>0.1697297297</v>
      </c>
    </row>
    <row r="10" outlineLevel="1">
      <c r="A10" s="157" t="s">
        <v>54</v>
      </c>
      <c r="B10" s="15"/>
      <c r="C10" s="17"/>
      <c r="D10" s="158">
        <f t="shared" ref="D10:I10" si="4">SUM(D4:D9)</f>
        <v>10566</v>
      </c>
      <c r="E10" s="158">
        <f t="shared" si="4"/>
        <v>2021</v>
      </c>
      <c r="F10" s="158">
        <f t="shared" si="4"/>
        <v>14</v>
      </c>
      <c r="G10" s="158">
        <f t="shared" si="4"/>
        <v>12</v>
      </c>
      <c r="H10" s="158">
        <f t="shared" si="4"/>
        <v>75</v>
      </c>
      <c r="I10" s="158">
        <f t="shared" si="4"/>
        <v>2122</v>
      </c>
      <c r="J10" s="159">
        <f t="shared" si="2"/>
        <v>0.2008328601</v>
      </c>
    </row>
    <row r="11" outlineLevel="1">
      <c r="A11" s="136">
        <v>1.0</v>
      </c>
      <c r="B11" s="137">
        <v>45722.0</v>
      </c>
      <c r="C11" s="12" t="s">
        <v>63</v>
      </c>
      <c r="D11" s="139">
        <v>3199.0</v>
      </c>
      <c r="E11" s="139">
        <v>232.0</v>
      </c>
      <c r="F11" s="139">
        <v>6.0</v>
      </c>
      <c r="G11" s="139">
        <v>8.0</v>
      </c>
      <c r="H11" s="139">
        <v>9.0</v>
      </c>
      <c r="I11" s="23">
        <f t="shared" ref="I11:I15" si="5">SUM(E11:H11)</f>
        <v>255</v>
      </c>
      <c r="J11" s="24">
        <f t="shared" si="2"/>
        <v>0.07971241013</v>
      </c>
    </row>
    <row r="12" outlineLevel="1">
      <c r="A12" s="9">
        <v>2.0</v>
      </c>
      <c r="B12" s="137">
        <v>45729.0</v>
      </c>
      <c r="C12" s="12" t="s">
        <v>65</v>
      </c>
      <c r="D12" s="139">
        <v>49.0</v>
      </c>
      <c r="E12" s="139">
        <v>1.0</v>
      </c>
      <c r="F12" s="139">
        <v>0.0</v>
      </c>
      <c r="G12" s="139">
        <v>0.0</v>
      </c>
      <c r="H12" s="139">
        <v>0.0</v>
      </c>
      <c r="I12" s="23">
        <f t="shared" si="5"/>
        <v>1</v>
      </c>
      <c r="J12" s="24">
        <f t="shared" si="2"/>
        <v>0.02040816327</v>
      </c>
    </row>
    <row r="13" outlineLevel="1">
      <c r="A13" s="9">
        <v>3.0</v>
      </c>
      <c r="B13" s="137">
        <v>45735.0</v>
      </c>
      <c r="C13" s="12" t="s">
        <v>67</v>
      </c>
      <c r="D13" s="139">
        <v>597.0</v>
      </c>
      <c r="E13" s="139">
        <v>7.0</v>
      </c>
      <c r="F13" s="139">
        <v>9.0</v>
      </c>
      <c r="G13" s="139">
        <v>0.0</v>
      </c>
      <c r="H13" s="139">
        <v>0.0</v>
      </c>
      <c r="I13" s="23">
        <f t="shared" si="5"/>
        <v>16</v>
      </c>
      <c r="J13" s="24">
        <f t="shared" si="2"/>
        <v>0.02680067002</v>
      </c>
    </row>
    <row r="14" outlineLevel="1">
      <c r="A14" s="9">
        <v>4.0</v>
      </c>
      <c r="B14" s="137">
        <v>45736.0</v>
      </c>
      <c r="C14" s="12" t="s">
        <v>68</v>
      </c>
      <c r="D14" s="139">
        <v>6279.0</v>
      </c>
      <c r="E14" s="139">
        <v>85.0</v>
      </c>
      <c r="F14" s="139">
        <v>11.0</v>
      </c>
      <c r="G14" s="139">
        <v>0.0</v>
      </c>
      <c r="H14" s="139">
        <v>12.0</v>
      </c>
      <c r="I14" s="23">
        <f t="shared" si="5"/>
        <v>108</v>
      </c>
      <c r="J14" s="24">
        <f t="shared" si="2"/>
        <v>0.01720019111</v>
      </c>
    </row>
    <row r="15" outlineLevel="1">
      <c r="A15" s="9">
        <v>5.0</v>
      </c>
      <c r="B15" s="137">
        <v>45747.0</v>
      </c>
      <c r="C15" s="12" t="s">
        <v>73</v>
      </c>
      <c r="D15" s="139">
        <v>80.0</v>
      </c>
      <c r="E15" s="139">
        <v>5.0</v>
      </c>
      <c r="F15" s="139">
        <v>2.0</v>
      </c>
      <c r="G15" s="139">
        <v>0.0</v>
      </c>
      <c r="H15" s="139">
        <v>0.0</v>
      </c>
      <c r="I15" s="23">
        <f t="shared" si="5"/>
        <v>7</v>
      </c>
      <c r="J15" s="24">
        <f t="shared" si="2"/>
        <v>0.0875</v>
      </c>
    </row>
    <row r="16" outlineLevel="1">
      <c r="A16" s="157" t="s">
        <v>60</v>
      </c>
      <c r="B16" s="15"/>
      <c r="C16" s="17"/>
      <c r="D16" s="158">
        <f t="shared" ref="D16:I16" si="6">SUM(D11:D15)</f>
        <v>10204</v>
      </c>
      <c r="E16" s="158">
        <f t="shared" si="6"/>
        <v>330</v>
      </c>
      <c r="F16" s="158">
        <f t="shared" si="6"/>
        <v>28</v>
      </c>
      <c r="G16" s="158">
        <f t="shared" si="6"/>
        <v>8</v>
      </c>
      <c r="H16" s="158">
        <f t="shared" si="6"/>
        <v>21</v>
      </c>
      <c r="I16" s="158">
        <f t="shared" si="6"/>
        <v>387</v>
      </c>
      <c r="J16" s="159">
        <f t="shared" si="2"/>
        <v>0.03792630341</v>
      </c>
    </row>
    <row r="17" outlineLevel="1">
      <c r="A17" s="50">
        <v>1.0</v>
      </c>
      <c r="B17" s="51">
        <v>46129.0</v>
      </c>
      <c r="C17" s="50" t="s">
        <v>81</v>
      </c>
      <c r="D17" s="50">
        <v>228.0</v>
      </c>
      <c r="E17" s="50">
        <v>8.0</v>
      </c>
      <c r="F17" s="50">
        <v>1.0</v>
      </c>
      <c r="G17" s="50">
        <v>1.0</v>
      </c>
      <c r="H17" s="50">
        <v>2.0</v>
      </c>
      <c r="I17" s="54">
        <f t="shared" ref="I17:I19" si="7">SUM(E17:H17)</f>
        <v>12</v>
      </c>
      <c r="J17" s="56">
        <f t="shared" ref="J17:J40" si="8">I17/D17</f>
        <v>0.05263157895</v>
      </c>
    </row>
    <row r="18" outlineLevel="1">
      <c r="A18" s="50">
        <v>2.0</v>
      </c>
      <c r="B18" s="51">
        <v>46133.0</v>
      </c>
      <c r="C18" s="50" t="s">
        <v>82</v>
      </c>
      <c r="D18" s="50">
        <v>8746.0</v>
      </c>
      <c r="E18" s="50">
        <v>88.0</v>
      </c>
      <c r="F18" s="50">
        <v>5.0</v>
      </c>
      <c r="G18" s="50">
        <v>7.0</v>
      </c>
      <c r="H18" s="50">
        <v>27.0</v>
      </c>
      <c r="I18" s="54">
        <f t="shared" si="7"/>
        <v>127</v>
      </c>
      <c r="J18" s="56">
        <f t="shared" si="8"/>
        <v>0.01452092385</v>
      </c>
    </row>
    <row r="19" outlineLevel="1">
      <c r="A19" s="50">
        <v>3.0</v>
      </c>
      <c r="B19" s="51">
        <v>46142.0</v>
      </c>
      <c r="C19" s="50" t="s">
        <v>158</v>
      </c>
      <c r="D19" s="50">
        <v>1393.0</v>
      </c>
      <c r="E19" s="50">
        <v>24.0</v>
      </c>
      <c r="F19" s="50">
        <v>4.0</v>
      </c>
      <c r="G19" s="50">
        <v>3.0</v>
      </c>
      <c r="H19" s="50">
        <v>6.0</v>
      </c>
      <c r="I19" s="54">
        <f t="shared" si="7"/>
        <v>37</v>
      </c>
      <c r="J19" s="56">
        <f t="shared" si="8"/>
        <v>0.02656137832</v>
      </c>
    </row>
    <row r="20" outlineLevel="1">
      <c r="A20" s="160" t="s">
        <v>80</v>
      </c>
      <c r="B20" s="15"/>
      <c r="C20" s="17"/>
      <c r="D20" s="161">
        <f t="shared" ref="D20:I20" si="9">SUM(D17:D19)</f>
        <v>10367</v>
      </c>
      <c r="E20" s="162">
        <f t="shared" si="9"/>
        <v>120</v>
      </c>
      <c r="F20" s="162">
        <f t="shared" si="9"/>
        <v>10</v>
      </c>
      <c r="G20" s="162">
        <f t="shared" si="9"/>
        <v>11</v>
      </c>
      <c r="H20" s="162">
        <f t="shared" si="9"/>
        <v>35</v>
      </c>
      <c r="I20" s="162">
        <f t="shared" si="9"/>
        <v>176</v>
      </c>
      <c r="J20" s="163">
        <f t="shared" si="8"/>
        <v>0.01697694608</v>
      </c>
    </row>
    <row r="21" outlineLevel="1">
      <c r="A21" s="50">
        <v>1.0</v>
      </c>
      <c r="B21" s="77">
        <v>46173.0</v>
      </c>
      <c r="C21" s="50" t="s">
        <v>159</v>
      </c>
      <c r="D21" s="50">
        <v>3230.0</v>
      </c>
      <c r="E21" s="50">
        <v>40.0</v>
      </c>
      <c r="F21" s="50">
        <v>6.0</v>
      </c>
      <c r="G21" s="50">
        <v>1.0</v>
      </c>
      <c r="H21" s="50">
        <v>19.0</v>
      </c>
      <c r="I21" s="54">
        <f t="shared" ref="I21:I23" si="10">SUM(E21:H21)</f>
        <v>66</v>
      </c>
      <c r="J21" s="56">
        <f t="shared" si="8"/>
        <v>0.02043343653</v>
      </c>
    </row>
    <row r="22" outlineLevel="1">
      <c r="A22" s="50">
        <v>2.0</v>
      </c>
      <c r="B22" s="77">
        <v>46173.0</v>
      </c>
      <c r="C22" s="50" t="s">
        <v>107</v>
      </c>
      <c r="D22" s="50">
        <v>1272.0</v>
      </c>
      <c r="E22" s="50">
        <v>19.0</v>
      </c>
      <c r="F22" s="50">
        <v>3.0</v>
      </c>
      <c r="G22" s="50">
        <v>0.0</v>
      </c>
      <c r="H22" s="50">
        <v>8.0</v>
      </c>
      <c r="I22" s="54">
        <f t="shared" si="10"/>
        <v>30</v>
      </c>
      <c r="J22" s="56">
        <f t="shared" si="8"/>
        <v>0.02358490566</v>
      </c>
    </row>
    <row r="23" outlineLevel="1">
      <c r="A23" s="50">
        <v>3.0</v>
      </c>
      <c r="B23" s="77">
        <v>46173.0</v>
      </c>
      <c r="C23" s="50" t="s">
        <v>160</v>
      </c>
      <c r="D23" s="50">
        <v>418.0</v>
      </c>
      <c r="E23" s="50">
        <v>6.0</v>
      </c>
      <c r="F23" s="50">
        <v>0.0</v>
      </c>
      <c r="G23" s="50">
        <v>0.0</v>
      </c>
      <c r="H23" s="50">
        <v>0.0</v>
      </c>
      <c r="I23" s="54">
        <f t="shared" si="10"/>
        <v>6</v>
      </c>
      <c r="J23" s="56">
        <f t="shared" si="8"/>
        <v>0.01435406699</v>
      </c>
    </row>
    <row r="24" outlineLevel="1">
      <c r="A24" s="160" t="s">
        <v>110</v>
      </c>
      <c r="B24" s="15"/>
      <c r="C24" s="17"/>
      <c r="D24" s="161">
        <f t="shared" ref="D24:I24" si="11">SUM(D21:D23)</f>
        <v>4920</v>
      </c>
      <c r="E24" s="162">
        <f t="shared" si="11"/>
        <v>65</v>
      </c>
      <c r="F24" s="162">
        <f t="shared" si="11"/>
        <v>9</v>
      </c>
      <c r="G24" s="162">
        <f t="shared" si="11"/>
        <v>1</v>
      </c>
      <c r="H24" s="162">
        <f t="shared" si="11"/>
        <v>27</v>
      </c>
      <c r="I24" s="162">
        <f t="shared" si="11"/>
        <v>102</v>
      </c>
      <c r="J24" s="163">
        <f t="shared" si="8"/>
        <v>0.02073170732</v>
      </c>
    </row>
    <row r="25" outlineLevel="1">
      <c r="A25" s="50">
        <v>1.0</v>
      </c>
      <c r="B25" s="51">
        <v>46182.0</v>
      </c>
      <c r="C25" s="50" t="s">
        <v>122</v>
      </c>
      <c r="D25" s="50">
        <v>9124.0</v>
      </c>
      <c r="E25" s="50">
        <v>212.0</v>
      </c>
      <c r="F25" s="50">
        <v>18.0</v>
      </c>
      <c r="G25" s="50">
        <v>4.0</v>
      </c>
      <c r="H25" s="50">
        <v>33.0</v>
      </c>
      <c r="I25" s="54">
        <f t="shared" ref="I25:I28" si="12">SUM(E25:H25)</f>
        <v>267</v>
      </c>
      <c r="J25" s="56">
        <f t="shared" si="8"/>
        <v>0.02926348093</v>
      </c>
    </row>
    <row r="26" outlineLevel="1">
      <c r="A26" s="50">
        <v>2.0</v>
      </c>
      <c r="B26" s="51">
        <v>46183.0</v>
      </c>
      <c r="C26" s="53" t="s">
        <v>112</v>
      </c>
      <c r="D26" s="50">
        <v>51200.0</v>
      </c>
      <c r="E26" s="50">
        <v>641.0</v>
      </c>
      <c r="F26" s="50">
        <v>115.0</v>
      </c>
      <c r="G26" s="50">
        <v>3.0</v>
      </c>
      <c r="H26" s="50">
        <v>459.0</v>
      </c>
      <c r="I26" s="54">
        <f t="shared" si="12"/>
        <v>1218</v>
      </c>
      <c r="J26" s="56">
        <f t="shared" si="8"/>
        <v>0.0237890625</v>
      </c>
    </row>
    <row r="27" outlineLevel="1">
      <c r="A27" s="50">
        <v>3.0</v>
      </c>
      <c r="B27" s="51">
        <v>46191.0</v>
      </c>
      <c r="C27" s="53" t="s">
        <v>126</v>
      </c>
      <c r="D27" s="50">
        <v>8181.0</v>
      </c>
      <c r="E27" s="50">
        <v>460.0</v>
      </c>
      <c r="F27" s="50">
        <v>2.0</v>
      </c>
      <c r="G27" s="50">
        <v>2.0</v>
      </c>
      <c r="H27" s="50">
        <v>29.0</v>
      </c>
      <c r="I27" s="54">
        <f t="shared" si="12"/>
        <v>493</v>
      </c>
      <c r="J27" s="56">
        <f t="shared" si="8"/>
        <v>0.06026158171</v>
      </c>
    </row>
    <row r="28" outlineLevel="1">
      <c r="A28" s="50">
        <v>4.0</v>
      </c>
      <c r="B28" s="51">
        <v>46197.0</v>
      </c>
      <c r="C28" s="50" t="s">
        <v>128</v>
      </c>
      <c r="D28" s="50">
        <v>2659.0</v>
      </c>
      <c r="E28" s="50">
        <v>49.0</v>
      </c>
      <c r="F28" s="50">
        <v>5.0</v>
      </c>
      <c r="G28" s="50">
        <v>2.0</v>
      </c>
      <c r="H28" s="50">
        <v>13.0</v>
      </c>
      <c r="I28" s="54">
        <f t="shared" si="12"/>
        <v>69</v>
      </c>
      <c r="J28" s="56">
        <f t="shared" si="8"/>
        <v>0.02594960511</v>
      </c>
    </row>
    <row r="29" outlineLevel="1">
      <c r="A29" s="160" t="s">
        <v>164</v>
      </c>
      <c r="B29" s="15"/>
      <c r="C29" s="17"/>
      <c r="D29" s="161">
        <f t="shared" ref="D29:I29" si="13">SUM(D25:D28)</f>
        <v>71164</v>
      </c>
      <c r="E29" s="161">
        <f t="shared" si="13"/>
        <v>1362</v>
      </c>
      <c r="F29" s="162">
        <f t="shared" si="13"/>
        <v>140</v>
      </c>
      <c r="G29" s="162">
        <f t="shared" si="13"/>
        <v>11</v>
      </c>
      <c r="H29" s="162">
        <f t="shared" si="13"/>
        <v>534</v>
      </c>
      <c r="I29" s="161">
        <f t="shared" si="13"/>
        <v>2047</v>
      </c>
      <c r="J29" s="163">
        <f t="shared" si="8"/>
        <v>0.02876454387</v>
      </c>
    </row>
    <row r="30">
      <c r="A30" s="50">
        <v>1.0</v>
      </c>
      <c r="B30" s="51">
        <v>46206.0</v>
      </c>
      <c r="C30" s="50" t="s">
        <v>133</v>
      </c>
      <c r="D30" s="151">
        <v>12000.0</v>
      </c>
      <c r="E30" s="50">
        <v>221.0</v>
      </c>
      <c r="F30" s="50">
        <v>3.0</v>
      </c>
      <c r="G30" s="50">
        <v>4.0</v>
      </c>
      <c r="H30" s="50">
        <v>24.0</v>
      </c>
      <c r="I30" s="54">
        <f t="shared" ref="I30:I34" si="14">SUM(E30:H30)</f>
        <v>252</v>
      </c>
      <c r="J30" s="56">
        <f t="shared" si="8"/>
        <v>0.021</v>
      </c>
    </row>
    <row r="31">
      <c r="A31" s="50">
        <v>2.0</v>
      </c>
      <c r="B31" s="51">
        <v>46213.0</v>
      </c>
      <c r="C31" s="50" t="s">
        <v>165</v>
      </c>
      <c r="D31" s="151">
        <v>5359.0</v>
      </c>
      <c r="E31" s="50">
        <v>844.0</v>
      </c>
      <c r="F31" s="50">
        <v>9.0</v>
      </c>
      <c r="G31" s="50">
        <v>1.0</v>
      </c>
      <c r="H31" s="50">
        <v>29.0</v>
      </c>
      <c r="I31" s="54">
        <f t="shared" si="14"/>
        <v>883</v>
      </c>
      <c r="J31" s="56">
        <f t="shared" si="8"/>
        <v>0.1647695466</v>
      </c>
    </row>
    <row r="32">
      <c r="A32" s="50">
        <v>3.0</v>
      </c>
      <c r="B32" s="51">
        <v>46223.0</v>
      </c>
      <c r="C32" s="50" t="s">
        <v>166</v>
      </c>
      <c r="D32" s="164">
        <v>14600.0</v>
      </c>
      <c r="E32" s="50">
        <v>531.0</v>
      </c>
      <c r="F32" s="50">
        <v>47.0</v>
      </c>
      <c r="G32" s="50">
        <v>3.0</v>
      </c>
      <c r="H32" s="50">
        <v>330.0</v>
      </c>
      <c r="I32" s="165">
        <f t="shared" si="14"/>
        <v>911</v>
      </c>
      <c r="J32" s="56">
        <f t="shared" si="8"/>
        <v>0.06239726027</v>
      </c>
    </row>
    <row r="33">
      <c r="A33" s="50">
        <v>4.0</v>
      </c>
      <c r="B33" s="51">
        <v>46224.0</v>
      </c>
      <c r="C33" s="50" t="s">
        <v>125</v>
      </c>
      <c r="D33" s="151">
        <v>6573.0</v>
      </c>
      <c r="E33" s="50">
        <v>121.0</v>
      </c>
      <c r="F33" s="50">
        <v>10.0</v>
      </c>
      <c r="G33" s="50">
        <v>1.0</v>
      </c>
      <c r="H33" s="50">
        <v>27.0</v>
      </c>
      <c r="I33" s="54">
        <f t="shared" si="14"/>
        <v>159</v>
      </c>
      <c r="J33" s="56">
        <f t="shared" si="8"/>
        <v>0.02418986764</v>
      </c>
    </row>
    <row r="34">
      <c r="A34" s="50">
        <v>5.0</v>
      </c>
      <c r="B34" s="51">
        <v>46233.0</v>
      </c>
      <c r="C34" s="166" t="s">
        <v>142</v>
      </c>
      <c r="D34" s="50">
        <v>551.0</v>
      </c>
      <c r="E34" s="50">
        <v>9.0</v>
      </c>
      <c r="F34" s="50">
        <v>0.0</v>
      </c>
      <c r="G34" s="50">
        <v>1.0</v>
      </c>
      <c r="H34" s="50">
        <v>4.0</v>
      </c>
      <c r="I34" s="54">
        <f t="shared" si="14"/>
        <v>14</v>
      </c>
      <c r="J34" s="56">
        <f t="shared" si="8"/>
        <v>0.02540834846</v>
      </c>
    </row>
    <row r="35">
      <c r="A35" s="160" t="s">
        <v>130</v>
      </c>
      <c r="B35" s="15"/>
      <c r="C35" s="17"/>
      <c r="D35" s="161">
        <f t="shared" ref="D35:I35" si="15">SUM(D30:D34)</f>
        <v>39083</v>
      </c>
      <c r="E35" s="161">
        <f t="shared" si="15"/>
        <v>1726</v>
      </c>
      <c r="F35" s="162">
        <f t="shared" si="15"/>
        <v>69</v>
      </c>
      <c r="G35" s="162">
        <f t="shared" si="15"/>
        <v>10</v>
      </c>
      <c r="H35" s="162">
        <f t="shared" si="15"/>
        <v>414</v>
      </c>
      <c r="I35" s="161">
        <f t="shared" si="15"/>
        <v>2219</v>
      </c>
      <c r="J35" s="163">
        <f t="shared" si="8"/>
        <v>0.05677660364</v>
      </c>
    </row>
    <row r="36">
      <c r="A36" s="50">
        <v>1.0</v>
      </c>
      <c r="B36" s="51">
        <v>46237.0</v>
      </c>
      <c r="C36" s="167" t="s">
        <v>143</v>
      </c>
      <c r="D36" s="168">
        <v>8949.0</v>
      </c>
      <c r="E36" s="151">
        <v>167.0</v>
      </c>
      <c r="F36" s="151">
        <v>12.0</v>
      </c>
      <c r="G36" s="151">
        <v>3.0</v>
      </c>
      <c r="H36" s="151">
        <v>74.0</v>
      </c>
      <c r="I36" s="169">
        <f t="shared" ref="I36:I39" si="16">SUM(E36:H36)</f>
        <v>256</v>
      </c>
      <c r="J36" s="56">
        <f t="shared" si="8"/>
        <v>0.02860654822</v>
      </c>
    </row>
    <row r="37">
      <c r="A37" s="50">
        <v>2.0</v>
      </c>
      <c r="B37" s="51">
        <v>46246.0</v>
      </c>
      <c r="C37" s="50" t="s">
        <v>167</v>
      </c>
      <c r="D37" s="151">
        <v>6558.0</v>
      </c>
      <c r="E37" s="151">
        <v>470.0</v>
      </c>
      <c r="F37" s="151">
        <v>15.0</v>
      </c>
      <c r="G37" s="151">
        <v>2.0</v>
      </c>
      <c r="H37" s="151">
        <v>20.0</v>
      </c>
      <c r="I37" s="170">
        <f t="shared" si="16"/>
        <v>507</v>
      </c>
      <c r="J37" s="171">
        <f t="shared" si="8"/>
        <v>0.07731015554</v>
      </c>
    </row>
    <row r="38">
      <c r="A38" s="50">
        <v>3.0</v>
      </c>
      <c r="B38" s="51">
        <v>46254.0</v>
      </c>
      <c r="C38" s="50" t="s">
        <v>146</v>
      </c>
      <c r="D38" s="151">
        <v>3773.0</v>
      </c>
      <c r="E38" s="151">
        <v>40.0</v>
      </c>
      <c r="F38" s="151">
        <v>0.0</v>
      </c>
      <c r="G38" s="151">
        <v>0.0</v>
      </c>
      <c r="H38" s="151">
        <v>20.0</v>
      </c>
      <c r="I38" s="169">
        <f t="shared" si="16"/>
        <v>60</v>
      </c>
      <c r="J38" s="56">
        <f t="shared" si="8"/>
        <v>0.01590246488</v>
      </c>
    </row>
    <row r="39">
      <c r="A39" s="50">
        <v>4.0</v>
      </c>
      <c r="B39" s="51">
        <v>46262.0</v>
      </c>
      <c r="C39" s="167" t="s">
        <v>168</v>
      </c>
      <c r="D39" s="151">
        <v>800.0</v>
      </c>
      <c r="E39" s="151">
        <v>10.0</v>
      </c>
      <c r="F39" s="151">
        <v>1.0</v>
      </c>
      <c r="G39" s="151">
        <v>0.0</v>
      </c>
      <c r="H39" s="151">
        <v>7.0</v>
      </c>
      <c r="I39" s="169">
        <f t="shared" si="16"/>
        <v>18</v>
      </c>
      <c r="J39" s="56">
        <f t="shared" si="8"/>
        <v>0.0225</v>
      </c>
    </row>
    <row r="40">
      <c r="A40" s="160" t="s">
        <v>141</v>
      </c>
      <c r="B40" s="15"/>
      <c r="C40" s="17"/>
      <c r="D40" s="161">
        <f t="shared" ref="D40:I40" si="17">SUM(D36:D39)</f>
        <v>20080</v>
      </c>
      <c r="E40" s="161">
        <f t="shared" si="17"/>
        <v>687</v>
      </c>
      <c r="F40" s="161">
        <f t="shared" si="17"/>
        <v>28</v>
      </c>
      <c r="G40" s="161">
        <f t="shared" si="17"/>
        <v>5</v>
      </c>
      <c r="H40" s="161">
        <f t="shared" si="17"/>
        <v>121</v>
      </c>
      <c r="I40" s="161">
        <f t="shared" si="17"/>
        <v>841</v>
      </c>
      <c r="J40" s="163">
        <f t="shared" si="8"/>
        <v>0.04188247012</v>
      </c>
    </row>
    <row r="41">
      <c r="C41" s="114"/>
    </row>
    <row r="42">
      <c r="C42" s="114"/>
    </row>
    <row r="43">
      <c r="C43" s="114"/>
    </row>
    <row r="44">
      <c r="C44" s="114"/>
    </row>
    <row r="45">
      <c r="C45" s="114"/>
    </row>
    <row r="46">
      <c r="C46" s="114"/>
    </row>
    <row r="47">
      <c r="C47" s="114"/>
    </row>
    <row r="48">
      <c r="C48" s="114"/>
    </row>
    <row r="49">
      <c r="C49" s="114"/>
    </row>
    <row r="50">
      <c r="C50" s="114"/>
    </row>
    <row r="51">
      <c r="C51" s="114"/>
    </row>
    <row r="52">
      <c r="C52" s="114"/>
    </row>
    <row r="53">
      <c r="C53" s="114"/>
    </row>
    <row r="54">
      <c r="C54" s="114"/>
    </row>
    <row r="55">
      <c r="C55" s="114"/>
    </row>
    <row r="56">
      <c r="C56" s="114"/>
    </row>
    <row r="57">
      <c r="C57" s="114"/>
    </row>
    <row r="58">
      <c r="C58" s="114"/>
    </row>
    <row r="59">
      <c r="C59" s="114"/>
    </row>
    <row r="60">
      <c r="C60" s="114"/>
    </row>
    <row r="61">
      <c r="C61" s="114"/>
    </row>
    <row r="62">
      <c r="C62" s="114"/>
    </row>
    <row r="63">
      <c r="C63" s="114"/>
    </row>
    <row r="64">
      <c r="C64" s="114"/>
    </row>
    <row r="65">
      <c r="C65" s="114"/>
    </row>
    <row r="66">
      <c r="C66" s="114"/>
    </row>
    <row r="67">
      <c r="C67" s="114"/>
    </row>
    <row r="68">
      <c r="C68" s="114"/>
    </row>
    <row r="69">
      <c r="C69" s="114"/>
    </row>
    <row r="70">
      <c r="C70" s="114"/>
    </row>
    <row r="71">
      <c r="C71" s="114"/>
    </row>
    <row r="72">
      <c r="C72" s="114"/>
    </row>
    <row r="73">
      <c r="C73" s="114"/>
    </row>
    <row r="74">
      <c r="C74" s="114"/>
    </row>
    <row r="75">
      <c r="C75" s="114"/>
    </row>
    <row r="76">
      <c r="C76" s="114"/>
    </row>
    <row r="77">
      <c r="C77" s="114"/>
    </row>
    <row r="78">
      <c r="C78" s="114"/>
    </row>
    <row r="79">
      <c r="C79" s="114"/>
    </row>
    <row r="80">
      <c r="C80" s="114"/>
    </row>
    <row r="81">
      <c r="C81" s="114"/>
    </row>
    <row r="82">
      <c r="C82" s="114"/>
    </row>
    <row r="83">
      <c r="C83" s="114"/>
    </row>
    <row r="84">
      <c r="C84" s="114"/>
    </row>
    <row r="85">
      <c r="C85" s="114"/>
    </row>
    <row r="86">
      <c r="C86" s="114"/>
    </row>
    <row r="87">
      <c r="C87" s="114"/>
    </row>
    <row r="88">
      <c r="C88" s="114"/>
    </row>
    <row r="89">
      <c r="C89" s="114"/>
    </row>
    <row r="90">
      <c r="C90" s="114"/>
    </row>
    <row r="91">
      <c r="C91" s="114"/>
    </row>
    <row r="92">
      <c r="C92" s="114"/>
    </row>
    <row r="93">
      <c r="C93" s="114"/>
    </row>
    <row r="94">
      <c r="C94" s="114"/>
    </row>
    <row r="95">
      <c r="C95" s="114"/>
    </row>
    <row r="96">
      <c r="C96" s="114"/>
    </row>
    <row r="97">
      <c r="C97" s="114"/>
    </row>
    <row r="98">
      <c r="C98" s="114"/>
    </row>
    <row r="99">
      <c r="C99" s="114"/>
    </row>
    <row r="100">
      <c r="C100" s="114"/>
    </row>
    <row r="101">
      <c r="C101" s="114"/>
    </row>
    <row r="102">
      <c r="C102" s="114"/>
    </row>
    <row r="103">
      <c r="C103" s="114"/>
    </row>
    <row r="104">
      <c r="C104" s="114"/>
    </row>
    <row r="105">
      <c r="C105" s="114"/>
    </row>
    <row r="106">
      <c r="C106" s="114"/>
    </row>
    <row r="107">
      <c r="C107" s="114"/>
    </row>
    <row r="108">
      <c r="C108" s="114"/>
    </row>
    <row r="109">
      <c r="C109" s="114"/>
    </row>
    <row r="110">
      <c r="C110" s="114"/>
    </row>
    <row r="111">
      <c r="C111" s="114"/>
    </row>
    <row r="112">
      <c r="C112" s="114"/>
    </row>
    <row r="113">
      <c r="C113" s="114"/>
    </row>
    <row r="114">
      <c r="C114" s="114"/>
    </row>
    <row r="115">
      <c r="C115" s="114"/>
    </row>
    <row r="116">
      <c r="C116" s="114"/>
    </row>
    <row r="117">
      <c r="C117" s="114"/>
    </row>
    <row r="118">
      <c r="C118" s="114"/>
    </row>
    <row r="119">
      <c r="C119" s="114"/>
    </row>
    <row r="120">
      <c r="C120" s="114"/>
    </row>
    <row r="121">
      <c r="C121" s="114"/>
    </row>
    <row r="122">
      <c r="C122" s="114"/>
    </row>
    <row r="123">
      <c r="C123" s="114"/>
    </row>
    <row r="124">
      <c r="C124" s="114"/>
    </row>
    <row r="125">
      <c r="C125" s="114"/>
    </row>
    <row r="126">
      <c r="C126" s="114"/>
    </row>
    <row r="127">
      <c r="C127" s="114"/>
    </row>
    <row r="128">
      <c r="C128" s="114"/>
    </row>
    <row r="129">
      <c r="C129" s="114"/>
    </row>
    <row r="130">
      <c r="C130" s="114"/>
    </row>
    <row r="131">
      <c r="C131" s="114"/>
    </row>
    <row r="132">
      <c r="C132" s="114"/>
    </row>
    <row r="133">
      <c r="C133" s="114"/>
    </row>
    <row r="134">
      <c r="C134" s="114"/>
    </row>
    <row r="135">
      <c r="C135" s="114"/>
    </row>
    <row r="136">
      <c r="C136" s="114"/>
    </row>
    <row r="137">
      <c r="C137" s="114"/>
    </row>
    <row r="138">
      <c r="C138" s="114"/>
    </row>
    <row r="139">
      <c r="C139" s="114"/>
    </row>
    <row r="140">
      <c r="C140" s="114"/>
    </row>
    <row r="141">
      <c r="C141" s="114"/>
    </row>
    <row r="142">
      <c r="C142" s="114"/>
    </row>
    <row r="143">
      <c r="C143" s="114"/>
    </row>
    <row r="144">
      <c r="C144" s="114"/>
    </row>
    <row r="145">
      <c r="C145" s="114"/>
    </row>
    <row r="146">
      <c r="C146" s="114"/>
    </row>
    <row r="147">
      <c r="C147" s="114"/>
    </row>
    <row r="148">
      <c r="C148" s="114"/>
    </row>
    <row r="149">
      <c r="C149" s="114"/>
    </row>
    <row r="150">
      <c r="C150" s="114"/>
    </row>
    <row r="151">
      <c r="C151" s="114"/>
    </row>
    <row r="152">
      <c r="C152" s="114"/>
    </row>
    <row r="153">
      <c r="C153" s="114"/>
    </row>
    <row r="154">
      <c r="C154" s="114"/>
    </row>
    <row r="155">
      <c r="C155" s="114"/>
    </row>
    <row r="156">
      <c r="C156" s="114"/>
    </row>
    <row r="157">
      <c r="C157" s="114"/>
    </row>
    <row r="158">
      <c r="C158" s="114"/>
    </row>
    <row r="159">
      <c r="C159" s="114"/>
    </row>
    <row r="160">
      <c r="C160" s="114"/>
    </row>
    <row r="161">
      <c r="C161" s="114"/>
    </row>
    <row r="162">
      <c r="C162" s="114"/>
    </row>
    <row r="163">
      <c r="C163" s="114"/>
    </row>
    <row r="164">
      <c r="C164" s="114"/>
    </row>
    <row r="165">
      <c r="C165" s="114"/>
    </row>
    <row r="166">
      <c r="C166" s="114"/>
    </row>
    <row r="167">
      <c r="C167" s="114"/>
    </row>
    <row r="168">
      <c r="C168" s="114"/>
    </row>
    <row r="169">
      <c r="C169" s="114"/>
    </row>
    <row r="170">
      <c r="C170" s="114"/>
    </row>
    <row r="171">
      <c r="C171" s="114"/>
    </row>
    <row r="172">
      <c r="C172" s="114"/>
    </row>
    <row r="173">
      <c r="C173" s="114"/>
    </row>
    <row r="174">
      <c r="C174" s="114"/>
    </row>
    <row r="175">
      <c r="C175" s="114"/>
    </row>
    <row r="176">
      <c r="C176" s="114"/>
    </row>
    <row r="177">
      <c r="C177" s="114"/>
    </row>
    <row r="178">
      <c r="C178" s="114"/>
    </row>
    <row r="179">
      <c r="C179" s="114"/>
    </row>
    <row r="180">
      <c r="C180" s="114"/>
    </row>
    <row r="181">
      <c r="C181" s="114"/>
    </row>
    <row r="182">
      <c r="C182" s="114"/>
    </row>
    <row r="183">
      <c r="C183" s="114"/>
    </row>
    <row r="184">
      <c r="C184" s="114"/>
    </row>
    <row r="185">
      <c r="C185" s="114"/>
    </row>
    <row r="186">
      <c r="C186" s="114"/>
    </row>
    <row r="187">
      <c r="C187" s="114"/>
    </row>
    <row r="188">
      <c r="C188" s="114"/>
    </row>
    <row r="189">
      <c r="C189" s="114"/>
    </row>
    <row r="190">
      <c r="C190" s="114"/>
    </row>
    <row r="191">
      <c r="C191" s="114"/>
    </row>
    <row r="192">
      <c r="C192" s="114"/>
    </row>
    <row r="193">
      <c r="C193" s="114"/>
    </row>
    <row r="194">
      <c r="C194" s="114"/>
    </row>
    <row r="195">
      <c r="C195" s="114"/>
    </row>
    <row r="196">
      <c r="C196" s="114"/>
    </row>
    <row r="197">
      <c r="C197" s="114"/>
    </row>
    <row r="198">
      <c r="C198" s="114"/>
    </row>
    <row r="199">
      <c r="C199" s="114"/>
    </row>
    <row r="200">
      <c r="C200" s="114"/>
    </row>
    <row r="201">
      <c r="C201" s="114"/>
    </row>
    <row r="202">
      <c r="C202" s="114"/>
    </row>
    <row r="203">
      <c r="C203" s="114"/>
    </row>
    <row r="204">
      <c r="C204" s="114"/>
    </row>
    <row r="205">
      <c r="C205" s="114"/>
    </row>
    <row r="206">
      <c r="C206" s="114"/>
    </row>
    <row r="207">
      <c r="C207" s="114"/>
    </row>
    <row r="208">
      <c r="C208" s="114"/>
    </row>
    <row r="209">
      <c r="C209" s="114"/>
    </row>
    <row r="210">
      <c r="C210" s="114"/>
    </row>
    <row r="211">
      <c r="C211" s="114"/>
    </row>
    <row r="212">
      <c r="C212" s="114"/>
    </row>
    <row r="213">
      <c r="C213" s="114"/>
    </row>
    <row r="214">
      <c r="C214" s="114"/>
    </row>
    <row r="215">
      <c r="C215" s="114"/>
    </row>
    <row r="216">
      <c r="C216" s="114"/>
    </row>
    <row r="217">
      <c r="C217" s="114"/>
    </row>
    <row r="218">
      <c r="C218" s="114"/>
    </row>
    <row r="219">
      <c r="C219" s="114"/>
    </row>
    <row r="220">
      <c r="C220" s="114"/>
    </row>
    <row r="221">
      <c r="C221" s="114"/>
    </row>
    <row r="222">
      <c r="C222" s="114"/>
    </row>
    <row r="223">
      <c r="C223" s="114"/>
    </row>
    <row r="224">
      <c r="C224" s="114"/>
    </row>
    <row r="225">
      <c r="C225" s="114"/>
    </row>
    <row r="226">
      <c r="C226" s="114"/>
    </row>
    <row r="227">
      <c r="C227" s="114"/>
    </row>
    <row r="228">
      <c r="C228" s="114"/>
    </row>
    <row r="229">
      <c r="C229" s="114"/>
    </row>
    <row r="230">
      <c r="C230" s="114"/>
    </row>
    <row r="231">
      <c r="C231" s="114"/>
    </row>
    <row r="232">
      <c r="C232" s="114"/>
    </row>
    <row r="233">
      <c r="C233" s="114"/>
    </row>
    <row r="234">
      <c r="C234" s="114"/>
    </row>
    <row r="235">
      <c r="C235" s="114"/>
    </row>
    <row r="236">
      <c r="C236" s="114"/>
    </row>
    <row r="237">
      <c r="C237" s="114"/>
    </row>
    <row r="238">
      <c r="C238" s="114"/>
    </row>
    <row r="239">
      <c r="C239" s="114"/>
    </row>
    <row r="240">
      <c r="C240" s="114"/>
    </row>
    <row r="241">
      <c r="C241" s="114"/>
    </row>
    <row r="242">
      <c r="C242" s="114"/>
    </row>
    <row r="243">
      <c r="C243" s="114"/>
    </row>
    <row r="244">
      <c r="C244" s="114"/>
    </row>
    <row r="245">
      <c r="C245" s="114"/>
    </row>
    <row r="246">
      <c r="C246" s="114"/>
    </row>
    <row r="247">
      <c r="C247" s="114"/>
    </row>
    <row r="248">
      <c r="C248" s="114"/>
    </row>
    <row r="249">
      <c r="C249" s="114"/>
    </row>
    <row r="250">
      <c r="C250" s="114"/>
    </row>
    <row r="251">
      <c r="C251" s="114"/>
    </row>
    <row r="252">
      <c r="C252" s="114"/>
    </row>
    <row r="253">
      <c r="C253" s="114"/>
    </row>
    <row r="254">
      <c r="C254" s="114"/>
    </row>
    <row r="255">
      <c r="C255" s="114"/>
    </row>
    <row r="256">
      <c r="C256" s="114"/>
    </row>
    <row r="257">
      <c r="C257" s="114"/>
    </row>
    <row r="258">
      <c r="C258" s="114"/>
    </row>
    <row r="259">
      <c r="C259" s="114"/>
    </row>
    <row r="260">
      <c r="C260" s="114"/>
    </row>
    <row r="261">
      <c r="C261" s="114"/>
    </row>
    <row r="262">
      <c r="C262" s="114"/>
    </row>
    <row r="263">
      <c r="C263" s="114"/>
    </row>
    <row r="264">
      <c r="C264" s="114"/>
    </row>
    <row r="265">
      <c r="C265" s="114"/>
    </row>
    <row r="266">
      <c r="C266" s="114"/>
    </row>
    <row r="267">
      <c r="C267" s="114"/>
    </row>
    <row r="268">
      <c r="C268" s="114"/>
    </row>
    <row r="269">
      <c r="C269" s="114"/>
    </row>
    <row r="270">
      <c r="C270" s="114"/>
    </row>
    <row r="271">
      <c r="C271" s="114"/>
    </row>
    <row r="272">
      <c r="C272" s="114"/>
    </row>
    <row r="273">
      <c r="C273" s="114"/>
    </row>
    <row r="274">
      <c r="C274" s="114"/>
    </row>
    <row r="275">
      <c r="C275" s="114"/>
    </row>
    <row r="276">
      <c r="C276" s="114"/>
    </row>
    <row r="277">
      <c r="C277" s="114"/>
    </row>
    <row r="278">
      <c r="C278" s="114"/>
    </row>
    <row r="279">
      <c r="C279" s="114"/>
    </row>
    <row r="280">
      <c r="C280" s="114"/>
    </row>
    <row r="281">
      <c r="C281" s="114"/>
    </row>
    <row r="282">
      <c r="C282" s="114"/>
    </row>
    <row r="283">
      <c r="C283" s="114"/>
    </row>
    <row r="284">
      <c r="C284" s="114"/>
    </row>
    <row r="285">
      <c r="C285" s="114"/>
    </row>
    <row r="286">
      <c r="C286" s="114"/>
    </row>
    <row r="287">
      <c r="C287" s="114"/>
    </row>
    <row r="288">
      <c r="C288" s="114"/>
    </row>
    <row r="289">
      <c r="C289" s="114"/>
    </row>
    <row r="290">
      <c r="C290" s="114"/>
    </row>
    <row r="291">
      <c r="C291" s="114"/>
    </row>
    <row r="292">
      <c r="C292" s="114"/>
    </row>
    <row r="293">
      <c r="C293" s="114"/>
    </row>
    <row r="294">
      <c r="C294" s="114"/>
    </row>
    <row r="295">
      <c r="C295" s="114"/>
    </row>
    <row r="296">
      <c r="C296" s="114"/>
    </row>
    <row r="297">
      <c r="C297" s="114"/>
    </row>
    <row r="298">
      <c r="C298" s="114"/>
    </row>
    <row r="299">
      <c r="C299" s="114"/>
    </row>
    <row r="300">
      <c r="C300" s="114"/>
    </row>
    <row r="301">
      <c r="C301" s="114"/>
    </row>
    <row r="302">
      <c r="C302" s="114"/>
    </row>
    <row r="303">
      <c r="C303" s="114"/>
    </row>
    <row r="304">
      <c r="C304" s="114"/>
    </row>
    <row r="305">
      <c r="C305" s="114"/>
    </row>
    <row r="306">
      <c r="C306" s="114"/>
    </row>
    <row r="307">
      <c r="C307" s="114"/>
    </row>
    <row r="308">
      <c r="C308" s="114"/>
    </row>
    <row r="309">
      <c r="C309" s="114"/>
    </row>
    <row r="310">
      <c r="C310" s="114"/>
    </row>
    <row r="311">
      <c r="C311" s="114"/>
    </row>
    <row r="312">
      <c r="C312" s="114"/>
    </row>
    <row r="313">
      <c r="C313" s="114"/>
    </row>
    <row r="314">
      <c r="C314" s="114"/>
    </row>
    <row r="315">
      <c r="C315" s="114"/>
    </row>
    <row r="316">
      <c r="C316" s="114"/>
    </row>
    <row r="317">
      <c r="C317" s="114"/>
    </row>
    <row r="318">
      <c r="C318" s="114"/>
    </row>
    <row r="319">
      <c r="C319" s="114"/>
    </row>
    <row r="320">
      <c r="C320" s="114"/>
    </row>
    <row r="321">
      <c r="C321" s="114"/>
    </row>
    <row r="322">
      <c r="C322" s="114"/>
    </row>
    <row r="323">
      <c r="C323" s="114"/>
    </row>
    <row r="324">
      <c r="C324" s="114"/>
    </row>
    <row r="325">
      <c r="C325" s="114"/>
    </row>
    <row r="326">
      <c r="C326" s="114"/>
    </row>
    <row r="327">
      <c r="C327" s="114"/>
    </row>
    <row r="328">
      <c r="C328" s="114"/>
    </row>
    <row r="329">
      <c r="C329" s="114"/>
    </row>
    <row r="330">
      <c r="C330" s="114"/>
    </row>
    <row r="331">
      <c r="C331" s="114"/>
    </row>
    <row r="332">
      <c r="C332" s="114"/>
    </row>
    <row r="333">
      <c r="C333" s="114"/>
    </row>
    <row r="334">
      <c r="C334" s="114"/>
    </row>
    <row r="335">
      <c r="C335" s="114"/>
    </row>
    <row r="336">
      <c r="C336" s="114"/>
    </row>
    <row r="337">
      <c r="C337" s="114"/>
    </row>
    <row r="338">
      <c r="C338" s="114"/>
    </row>
    <row r="339">
      <c r="C339" s="114"/>
    </row>
    <row r="340">
      <c r="C340" s="114"/>
    </row>
    <row r="341">
      <c r="C341" s="114"/>
    </row>
    <row r="342">
      <c r="C342" s="114"/>
    </row>
    <row r="343">
      <c r="C343" s="114"/>
    </row>
    <row r="344">
      <c r="C344" s="114"/>
    </row>
    <row r="345">
      <c r="C345" s="114"/>
    </row>
    <row r="346">
      <c r="C346" s="114"/>
    </row>
    <row r="347">
      <c r="C347" s="114"/>
    </row>
    <row r="348">
      <c r="C348" s="114"/>
    </row>
    <row r="349">
      <c r="C349" s="114"/>
    </row>
    <row r="350">
      <c r="C350" s="114"/>
    </row>
    <row r="351">
      <c r="C351" s="114"/>
    </row>
    <row r="352">
      <c r="C352" s="114"/>
    </row>
    <row r="353">
      <c r="C353" s="114"/>
    </row>
    <row r="354">
      <c r="C354" s="114"/>
    </row>
    <row r="355">
      <c r="C355" s="114"/>
    </row>
    <row r="356">
      <c r="C356" s="114"/>
    </row>
    <row r="357">
      <c r="C357" s="114"/>
    </row>
    <row r="358">
      <c r="C358" s="114"/>
    </row>
    <row r="359">
      <c r="C359" s="114"/>
    </row>
    <row r="360">
      <c r="C360" s="114"/>
    </row>
    <row r="361">
      <c r="C361" s="114"/>
    </row>
    <row r="362">
      <c r="C362" s="114"/>
    </row>
    <row r="363">
      <c r="C363" s="114"/>
    </row>
    <row r="364">
      <c r="C364" s="114"/>
    </row>
    <row r="365">
      <c r="C365" s="114"/>
    </row>
    <row r="366">
      <c r="C366" s="114"/>
    </row>
    <row r="367">
      <c r="C367" s="114"/>
    </row>
    <row r="368">
      <c r="C368" s="114"/>
    </row>
    <row r="369">
      <c r="C369" s="114"/>
    </row>
    <row r="370">
      <c r="C370" s="114"/>
    </row>
    <row r="371">
      <c r="C371" s="114"/>
    </row>
    <row r="372">
      <c r="C372" s="114"/>
    </row>
    <row r="373">
      <c r="C373" s="114"/>
    </row>
    <row r="374">
      <c r="C374" s="114"/>
    </row>
    <row r="375">
      <c r="C375" s="114"/>
    </row>
    <row r="376">
      <c r="C376" s="114"/>
    </row>
    <row r="377">
      <c r="C377" s="114"/>
    </row>
    <row r="378">
      <c r="C378" s="114"/>
    </row>
    <row r="379">
      <c r="C379" s="114"/>
    </row>
    <row r="380">
      <c r="C380" s="114"/>
    </row>
    <row r="381">
      <c r="C381" s="114"/>
    </row>
    <row r="382">
      <c r="C382" s="114"/>
    </row>
    <row r="383">
      <c r="C383" s="114"/>
    </row>
    <row r="384">
      <c r="C384" s="114"/>
    </row>
    <row r="385">
      <c r="C385" s="114"/>
    </row>
    <row r="386">
      <c r="C386" s="114"/>
    </row>
    <row r="387">
      <c r="C387" s="114"/>
    </row>
    <row r="388">
      <c r="C388" s="114"/>
    </row>
    <row r="389">
      <c r="C389" s="114"/>
    </row>
    <row r="390">
      <c r="C390" s="114"/>
    </row>
    <row r="391">
      <c r="C391" s="114"/>
    </row>
    <row r="392">
      <c r="C392" s="114"/>
    </row>
    <row r="393">
      <c r="C393" s="114"/>
    </row>
    <row r="394">
      <c r="C394" s="114"/>
    </row>
    <row r="395">
      <c r="C395" s="114"/>
    </row>
    <row r="396">
      <c r="C396" s="114"/>
    </row>
    <row r="397">
      <c r="C397" s="114"/>
    </row>
    <row r="398">
      <c r="C398" s="114"/>
    </row>
    <row r="399">
      <c r="C399" s="114"/>
    </row>
    <row r="400">
      <c r="C400" s="114"/>
    </row>
    <row r="401">
      <c r="C401" s="114"/>
    </row>
    <row r="402">
      <c r="C402" s="114"/>
    </row>
    <row r="403">
      <c r="C403" s="114"/>
    </row>
    <row r="404">
      <c r="C404" s="114"/>
    </row>
    <row r="405">
      <c r="C405" s="114"/>
    </row>
    <row r="406">
      <c r="C406" s="114"/>
    </row>
    <row r="407">
      <c r="C407" s="114"/>
    </row>
    <row r="408">
      <c r="C408" s="114"/>
    </row>
    <row r="409">
      <c r="C409" s="114"/>
    </row>
    <row r="410">
      <c r="C410" s="114"/>
    </row>
    <row r="411">
      <c r="C411" s="114"/>
    </row>
    <row r="412">
      <c r="C412" s="114"/>
    </row>
    <row r="413">
      <c r="C413" s="114"/>
    </row>
    <row r="414">
      <c r="C414" s="114"/>
    </row>
    <row r="415">
      <c r="C415" s="114"/>
    </row>
    <row r="416">
      <c r="C416" s="114"/>
    </row>
    <row r="417">
      <c r="C417" s="114"/>
    </row>
    <row r="418">
      <c r="C418" s="114"/>
    </row>
    <row r="419">
      <c r="C419" s="114"/>
    </row>
    <row r="420">
      <c r="C420" s="114"/>
    </row>
    <row r="421">
      <c r="C421" s="114"/>
    </row>
    <row r="422">
      <c r="C422" s="114"/>
    </row>
    <row r="423">
      <c r="C423" s="114"/>
    </row>
    <row r="424">
      <c r="C424" s="114"/>
    </row>
    <row r="425">
      <c r="C425" s="114"/>
    </row>
    <row r="426">
      <c r="C426" s="114"/>
    </row>
    <row r="427">
      <c r="C427" s="114"/>
    </row>
    <row r="428">
      <c r="C428" s="114"/>
    </row>
    <row r="429">
      <c r="C429" s="114"/>
    </row>
    <row r="430">
      <c r="C430" s="114"/>
    </row>
    <row r="431">
      <c r="C431" s="114"/>
    </row>
    <row r="432">
      <c r="C432" s="114"/>
    </row>
    <row r="433">
      <c r="C433" s="114"/>
    </row>
    <row r="434">
      <c r="C434" s="114"/>
    </row>
    <row r="435">
      <c r="C435" s="114"/>
    </row>
    <row r="436">
      <c r="C436" s="114"/>
    </row>
    <row r="437">
      <c r="C437" s="114"/>
    </row>
    <row r="438">
      <c r="C438" s="114"/>
    </row>
    <row r="439">
      <c r="C439" s="114"/>
    </row>
    <row r="440">
      <c r="C440" s="114"/>
    </row>
    <row r="441">
      <c r="C441" s="114"/>
    </row>
    <row r="442">
      <c r="C442" s="114"/>
    </row>
    <row r="443">
      <c r="C443" s="114"/>
    </row>
    <row r="444">
      <c r="C444" s="114"/>
    </row>
    <row r="445">
      <c r="C445" s="114"/>
    </row>
    <row r="446">
      <c r="C446" s="114"/>
    </row>
    <row r="447">
      <c r="C447" s="114"/>
    </row>
    <row r="448">
      <c r="C448" s="114"/>
    </row>
    <row r="449">
      <c r="C449" s="114"/>
    </row>
    <row r="450">
      <c r="C450" s="114"/>
    </row>
    <row r="451">
      <c r="C451" s="114"/>
    </row>
    <row r="452">
      <c r="C452" s="114"/>
    </row>
    <row r="453">
      <c r="C453" s="114"/>
    </row>
    <row r="454">
      <c r="C454" s="114"/>
    </row>
    <row r="455">
      <c r="C455" s="114"/>
    </row>
    <row r="456">
      <c r="C456" s="114"/>
    </row>
    <row r="457">
      <c r="C457" s="114"/>
    </row>
    <row r="458">
      <c r="C458" s="114"/>
    </row>
    <row r="459">
      <c r="C459" s="114"/>
    </row>
    <row r="460">
      <c r="C460" s="114"/>
    </row>
    <row r="461">
      <c r="C461" s="114"/>
    </row>
    <row r="462">
      <c r="C462" s="114"/>
    </row>
    <row r="463">
      <c r="C463" s="114"/>
    </row>
    <row r="464">
      <c r="C464" s="114"/>
    </row>
    <row r="465">
      <c r="C465" s="114"/>
    </row>
    <row r="466">
      <c r="C466" s="114"/>
    </row>
    <row r="467">
      <c r="C467" s="114"/>
    </row>
    <row r="468">
      <c r="C468" s="114"/>
    </row>
    <row r="469">
      <c r="C469" s="114"/>
    </row>
    <row r="470">
      <c r="C470" s="114"/>
    </row>
    <row r="471">
      <c r="C471" s="114"/>
    </row>
    <row r="472">
      <c r="C472" s="114"/>
    </row>
    <row r="473">
      <c r="C473" s="114"/>
    </row>
    <row r="474">
      <c r="C474" s="114"/>
    </row>
    <row r="475">
      <c r="C475" s="114"/>
    </row>
    <row r="476">
      <c r="C476" s="114"/>
    </row>
    <row r="477">
      <c r="C477" s="114"/>
    </row>
    <row r="478">
      <c r="C478" s="114"/>
    </row>
    <row r="479">
      <c r="C479" s="114"/>
    </row>
    <row r="480">
      <c r="C480" s="114"/>
    </row>
    <row r="481">
      <c r="C481" s="114"/>
    </row>
    <row r="482">
      <c r="C482" s="114"/>
    </row>
    <row r="483">
      <c r="C483" s="114"/>
    </row>
    <row r="484">
      <c r="C484" s="114"/>
    </row>
    <row r="485">
      <c r="C485" s="114"/>
    </row>
    <row r="486">
      <c r="C486" s="114"/>
    </row>
    <row r="487">
      <c r="C487" s="114"/>
    </row>
    <row r="488">
      <c r="C488" s="114"/>
    </row>
    <row r="489">
      <c r="C489" s="114"/>
    </row>
    <row r="490">
      <c r="C490" s="114"/>
    </row>
    <row r="491">
      <c r="C491" s="114"/>
    </row>
    <row r="492">
      <c r="C492" s="114"/>
    </row>
    <row r="493">
      <c r="C493" s="114"/>
    </row>
    <row r="494">
      <c r="C494" s="114"/>
    </row>
    <row r="495">
      <c r="C495" s="114"/>
    </row>
    <row r="496">
      <c r="C496" s="114"/>
    </row>
    <row r="497">
      <c r="C497" s="114"/>
    </row>
    <row r="498">
      <c r="C498" s="114"/>
    </row>
    <row r="499">
      <c r="C499" s="114"/>
    </row>
    <row r="500">
      <c r="C500" s="114"/>
    </row>
    <row r="501">
      <c r="C501" s="114"/>
    </row>
    <row r="502">
      <c r="C502" s="114"/>
    </row>
    <row r="503">
      <c r="C503" s="114"/>
    </row>
    <row r="504">
      <c r="C504" s="114"/>
    </row>
    <row r="505">
      <c r="C505" s="114"/>
    </row>
    <row r="506">
      <c r="C506" s="114"/>
    </row>
    <row r="507">
      <c r="C507" s="114"/>
    </row>
    <row r="508">
      <c r="C508" s="114"/>
    </row>
    <row r="509">
      <c r="C509" s="114"/>
    </row>
    <row r="510">
      <c r="C510" s="114"/>
    </row>
    <row r="511">
      <c r="C511" s="114"/>
    </row>
    <row r="512">
      <c r="C512" s="114"/>
    </row>
    <row r="513">
      <c r="C513" s="114"/>
    </row>
    <row r="514">
      <c r="C514" s="114"/>
    </row>
    <row r="515">
      <c r="C515" s="114"/>
    </row>
    <row r="516">
      <c r="C516" s="114"/>
    </row>
    <row r="517">
      <c r="C517" s="114"/>
    </row>
    <row r="518">
      <c r="C518" s="114"/>
    </row>
    <row r="519">
      <c r="C519" s="114"/>
    </row>
    <row r="520">
      <c r="C520" s="114"/>
    </row>
    <row r="521">
      <c r="C521" s="114"/>
    </row>
    <row r="522">
      <c r="C522" s="114"/>
    </row>
    <row r="523">
      <c r="C523" s="114"/>
    </row>
    <row r="524">
      <c r="C524" s="114"/>
    </row>
    <row r="525">
      <c r="C525" s="114"/>
    </row>
    <row r="526">
      <c r="C526" s="114"/>
    </row>
    <row r="527">
      <c r="C527" s="114"/>
    </row>
    <row r="528">
      <c r="C528" s="114"/>
    </row>
    <row r="529">
      <c r="C529" s="114"/>
    </row>
    <row r="530">
      <c r="C530" s="114"/>
    </row>
    <row r="531">
      <c r="C531" s="114"/>
    </row>
    <row r="532">
      <c r="C532" s="114"/>
    </row>
    <row r="533">
      <c r="C533" s="114"/>
    </row>
    <row r="534">
      <c r="C534" s="114"/>
    </row>
    <row r="535">
      <c r="C535" s="114"/>
    </row>
    <row r="536">
      <c r="C536" s="114"/>
    </row>
    <row r="537">
      <c r="C537" s="114"/>
    </row>
    <row r="538">
      <c r="C538" s="114"/>
    </row>
    <row r="539">
      <c r="C539" s="114"/>
    </row>
    <row r="540">
      <c r="C540" s="114"/>
    </row>
    <row r="541">
      <c r="C541" s="114"/>
    </row>
    <row r="542">
      <c r="C542" s="114"/>
    </row>
    <row r="543">
      <c r="C543" s="114"/>
    </row>
    <row r="544">
      <c r="C544" s="114"/>
    </row>
    <row r="545">
      <c r="C545" s="114"/>
    </row>
    <row r="546">
      <c r="C546" s="114"/>
    </row>
    <row r="547">
      <c r="C547" s="114"/>
    </row>
    <row r="548">
      <c r="C548" s="114"/>
    </row>
    <row r="549">
      <c r="C549" s="114"/>
    </row>
    <row r="550">
      <c r="C550" s="114"/>
    </row>
    <row r="551">
      <c r="C551" s="114"/>
    </row>
    <row r="552">
      <c r="C552" s="114"/>
    </row>
    <row r="553">
      <c r="C553" s="114"/>
    </row>
    <row r="554">
      <c r="C554" s="114"/>
    </row>
    <row r="555">
      <c r="C555" s="114"/>
    </row>
    <row r="556">
      <c r="C556" s="114"/>
    </row>
    <row r="557">
      <c r="C557" s="114"/>
    </row>
    <row r="558">
      <c r="C558" s="114"/>
    </row>
    <row r="559">
      <c r="C559" s="114"/>
    </row>
    <row r="560">
      <c r="C560" s="114"/>
    </row>
    <row r="561">
      <c r="C561" s="114"/>
    </row>
    <row r="562">
      <c r="C562" s="114"/>
    </row>
    <row r="563">
      <c r="C563" s="114"/>
    </row>
    <row r="564">
      <c r="C564" s="114"/>
    </row>
    <row r="565">
      <c r="C565" s="114"/>
    </row>
    <row r="566">
      <c r="C566" s="114"/>
    </row>
    <row r="567">
      <c r="C567" s="114"/>
    </row>
    <row r="568">
      <c r="C568" s="114"/>
    </row>
    <row r="569">
      <c r="C569" s="114"/>
    </row>
    <row r="570">
      <c r="C570" s="114"/>
    </row>
    <row r="571">
      <c r="C571" s="114"/>
    </row>
    <row r="572">
      <c r="C572" s="114"/>
    </row>
    <row r="573">
      <c r="C573" s="114"/>
    </row>
    <row r="574">
      <c r="C574" s="114"/>
    </row>
    <row r="575">
      <c r="C575" s="114"/>
    </row>
    <row r="576">
      <c r="C576" s="114"/>
    </row>
    <row r="577">
      <c r="C577" s="114"/>
    </row>
    <row r="578">
      <c r="C578" s="114"/>
    </row>
    <row r="579">
      <c r="C579" s="114"/>
    </row>
    <row r="580">
      <c r="C580" s="114"/>
    </row>
    <row r="581">
      <c r="C581" s="114"/>
    </row>
    <row r="582">
      <c r="C582" s="114"/>
    </row>
    <row r="583">
      <c r="C583" s="114"/>
    </row>
    <row r="584">
      <c r="C584" s="114"/>
    </row>
    <row r="585">
      <c r="C585" s="114"/>
    </row>
    <row r="586">
      <c r="C586" s="114"/>
    </row>
    <row r="587">
      <c r="C587" s="114"/>
    </row>
    <row r="588">
      <c r="C588" s="114"/>
    </row>
    <row r="589">
      <c r="C589" s="114"/>
    </row>
    <row r="590">
      <c r="C590" s="114"/>
    </row>
    <row r="591">
      <c r="C591" s="114"/>
    </row>
    <row r="592">
      <c r="C592" s="114"/>
    </row>
    <row r="593">
      <c r="C593" s="114"/>
    </row>
    <row r="594">
      <c r="C594" s="114"/>
    </row>
    <row r="595">
      <c r="C595" s="114"/>
    </row>
    <row r="596">
      <c r="C596" s="114"/>
    </row>
    <row r="597">
      <c r="C597" s="114"/>
    </row>
    <row r="598">
      <c r="C598" s="114"/>
    </row>
    <row r="599">
      <c r="C599" s="114"/>
    </row>
    <row r="600">
      <c r="C600" s="114"/>
    </row>
    <row r="601">
      <c r="C601" s="114"/>
    </row>
    <row r="602">
      <c r="C602" s="114"/>
    </row>
    <row r="603">
      <c r="C603" s="114"/>
    </row>
    <row r="604">
      <c r="C604" s="114"/>
    </row>
    <row r="605">
      <c r="C605" s="114"/>
    </row>
    <row r="606">
      <c r="C606" s="114"/>
    </row>
    <row r="607">
      <c r="C607" s="114"/>
    </row>
    <row r="608">
      <c r="C608" s="114"/>
    </row>
    <row r="609">
      <c r="C609" s="114"/>
    </row>
    <row r="610">
      <c r="C610" s="114"/>
    </row>
    <row r="611">
      <c r="C611" s="114"/>
    </row>
    <row r="612">
      <c r="C612" s="114"/>
    </row>
    <row r="613">
      <c r="C613" s="114"/>
    </row>
    <row r="614">
      <c r="C614" s="114"/>
    </row>
    <row r="615">
      <c r="C615" s="114"/>
    </row>
    <row r="616">
      <c r="C616" s="114"/>
    </row>
    <row r="617">
      <c r="C617" s="114"/>
    </row>
    <row r="618">
      <c r="C618" s="114"/>
    </row>
    <row r="619">
      <c r="C619" s="114"/>
    </row>
    <row r="620">
      <c r="C620" s="114"/>
    </row>
    <row r="621">
      <c r="C621" s="114"/>
    </row>
    <row r="622">
      <c r="C622" s="114"/>
    </row>
    <row r="623">
      <c r="C623" s="114"/>
    </row>
    <row r="624">
      <c r="C624" s="114"/>
    </row>
    <row r="625">
      <c r="C625" s="114"/>
    </row>
    <row r="626">
      <c r="C626" s="114"/>
    </row>
    <row r="627">
      <c r="C627" s="114"/>
    </row>
    <row r="628">
      <c r="C628" s="114"/>
    </row>
    <row r="629">
      <c r="C629" s="114"/>
    </row>
    <row r="630">
      <c r="C630" s="114"/>
    </row>
    <row r="631">
      <c r="C631" s="114"/>
    </row>
    <row r="632">
      <c r="C632" s="114"/>
    </row>
    <row r="633">
      <c r="C633" s="114"/>
    </row>
    <row r="634">
      <c r="C634" s="114"/>
    </row>
    <row r="635">
      <c r="C635" s="114"/>
    </row>
    <row r="636">
      <c r="C636" s="114"/>
    </row>
    <row r="637">
      <c r="C637" s="114"/>
    </row>
    <row r="638">
      <c r="C638" s="114"/>
    </row>
    <row r="639">
      <c r="C639" s="114"/>
    </row>
    <row r="640">
      <c r="C640" s="114"/>
    </row>
    <row r="641">
      <c r="C641" s="114"/>
    </row>
    <row r="642">
      <c r="C642" s="114"/>
    </row>
    <row r="643">
      <c r="C643" s="114"/>
    </row>
    <row r="644">
      <c r="C644" s="114"/>
    </row>
    <row r="645">
      <c r="C645" s="114"/>
    </row>
    <row r="646">
      <c r="C646" s="114"/>
    </row>
    <row r="647">
      <c r="C647" s="114"/>
    </row>
    <row r="648">
      <c r="C648" s="114"/>
    </row>
    <row r="649">
      <c r="C649" s="114"/>
    </row>
    <row r="650">
      <c r="C650" s="114"/>
    </row>
    <row r="651">
      <c r="C651" s="114"/>
    </row>
    <row r="652">
      <c r="C652" s="114"/>
    </row>
    <row r="653">
      <c r="C653" s="114"/>
    </row>
    <row r="654">
      <c r="C654" s="114"/>
    </row>
    <row r="655">
      <c r="C655" s="114"/>
    </row>
    <row r="656">
      <c r="C656" s="114"/>
    </row>
    <row r="657">
      <c r="C657" s="114"/>
    </row>
    <row r="658">
      <c r="C658" s="114"/>
    </row>
    <row r="659">
      <c r="C659" s="114"/>
    </row>
    <row r="660">
      <c r="C660" s="114"/>
    </row>
    <row r="661">
      <c r="C661" s="114"/>
    </row>
    <row r="662">
      <c r="C662" s="114"/>
    </row>
    <row r="663">
      <c r="C663" s="114"/>
    </row>
    <row r="664">
      <c r="C664" s="114"/>
    </row>
    <row r="665">
      <c r="C665" s="114"/>
    </row>
    <row r="666">
      <c r="C666" s="114"/>
    </row>
    <row r="667">
      <c r="C667" s="114"/>
    </row>
    <row r="668">
      <c r="C668" s="114"/>
    </row>
    <row r="669">
      <c r="C669" s="114"/>
    </row>
    <row r="670">
      <c r="C670" s="114"/>
    </row>
    <row r="671">
      <c r="C671" s="114"/>
    </row>
    <row r="672">
      <c r="C672" s="114"/>
    </row>
    <row r="673">
      <c r="C673" s="114"/>
    </row>
    <row r="674">
      <c r="C674" s="114"/>
    </row>
    <row r="675">
      <c r="C675" s="114"/>
    </row>
    <row r="676">
      <c r="C676" s="114"/>
    </row>
    <row r="677">
      <c r="C677" s="114"/>
    </row>
    <row r="678">
      <c r="C678" s="114"/>
    </row>
    <row r="679">
      <c r="C679" s="114"/>
    </row>
    <row r="680">
      <c r="C680" s="114"/>
    </row>
    <row r="681">
      <c r="C681" s="114"/>
    </row>
    <row r="682">
      <c r="C682" s="114"/>
    </row>
    <row r="683">
      <c r="C683" s="114"/>
    </row>
    <row r="684">
      <c r="C684" s="114"/>
    </row>
    <row r="685">
      <c r="C685" s="114"/>
    </row>
    <row r="686">
      <c r="C686" s="114"/>
    </row>
    <row r="687">
      <c r="C687" s="114"/>
    </row>
    <row r="688">
      <c r="C688" s="114"/>
    </row>
    <row r="689">
      <c r="C689" s="114"/>
    </row>
    <row r="690">
      <c r="C690" s="114"/>
    </row>
    <row r="691">
      <c r="C691" s="114"/>
    </row>
    <row r="692">
      <c r="C692" s="114"/>
    </row>
    <row r="693">
      <c r="C693" s="114"/>
    </row>
    <row r="694">
      <c r="C694" s="114"/>
    </row>
    <row r="695">
      <c r="C695" s="114"/>
    </row>
    <row r="696">
      <c r="C696" s="114"/>
    </row>
    <row r="697">
      <c r="C697" s="114"/>
    </row>
    <row r="698">
      <c r="C698" s="114"/>
    </row>
    <row r="699">
      <c r="C699" s="114"/>
    </row>
    <row r="700">
      <c r="C700" s="114"/>
    </row>
    <row r="701">
      <c r="C701" s="114"/>
    </row>
    <row r="702">
      <c r="C702" s="114"/>
    </row>
    <row r="703">
      <c r="C703" s="114"/>
    </row>
    <row r="704">
      <c r="C704" s="114"/>
    </row>
    <row r="705">
      <c r="C705" s="114"/>
    </row>
    <row r="706">
      <c r="C706" s="114"/>
    </row>
    <row r="707">
      <c r="C707" s="114"/>
    </row>
    <row r="708">
      <c r="C708" s="114"/>
    </row>
    <row r="709">
      <c r="C709" s="114"/>
    </row>
    <row r="710">
      <c r="C710" s="114"/>
    </row>
    <row r="711">
      <c r="C711" s="114"/>
    </row>
    <row r="712">
      <c r="C712" s="114"/>
    </row>
    <row r="713">
      <c r="C713" s="114"/>
    </row>
    <row r="714">
      <c r="C714" s="114"/>
    </row>
    <row r="715">
      <c r="C715" s="114"/>
    </row>
    <row r="716">
      <c r="C716" s="114"/>
    </row>
    <row r="717">
      <c r="C717" s="114"/>
    </row>
    <row r="718">
      <c r="C718" s="114"/>
    </row>
    <row r="719">
      <c r="C719" s="114"/>
    </row>
    <row r="720">
      <c r="C720" s="114"/>
    </row>
    <row r="721">
      <c r="C721" s="114"/>
    </row>
    <row r="722">
      <c r="C722" s="114"/>
    </row>
    <row r="723">
      <c r="C723" s="114"/>
    </row>
    <row r="724">
      <c r="C724" s="114"/>
    </row>
    <row r="725">
      <c r="C725" s="114"/>
    </row>
    <row r="726">
      <c r="C726" s="114"/>
    </row>
    <row r="727">
      <c r="C727" s="114"/>
    </row>
    <row r="728">
      <c r="C728" s="114"/>
    </row>
    <row r="729">
      <c r="C729" s="114"/>
    </row>
    <row r="730">
      <c r="C730" s="114"/>
    </row>
    <row r="731">
      <c r="C731" s="114"/>
    </row>
    <row r="732">
      <c r="C732" s="114"/>
    </row>
    <row r="733">
      <c r="C733" s="114"/>
    </row>
    <row r="734">
      <c r="C734" s="114"/>
    </row>
    <row r="735">
      <c r="C735" s="114"/>
    </row>
    <row r="736">
      <c r="C736" s="114"/>
    </row>
    <row r="737">
      <c r="C737" s="114"/>
    </row>
    <row r="738">
      <c r="C738" s="114"/>
    </row>
    <row r="739">
      <c r="C739" s="114"/>
    </row>
    <row r="740">
      <c r="C740" s="114"/>
    </row>
    <row r="741">
      <c r="C741" s="114"/>
    </row>
    <row r="742">
      <c r="C742" s="114"/>
    </row>
    <row r="743">
      <c r="C743" s="114"/>
    </row>
    <row r="744">
      <c r="C744" s="114"/>
    </row>
    <row r="745">
      <c r="C745" s="114"/>
    </row>
    <row r="746">
      <c r="C746" s="114"/>
    </row>
    <row r="747">
      <c r="C747" s="114"/>
    </row>
    <row r="748">
      <c r="C748" s="114"/>
    </row>
    <row r="749">
      <c r="C749" s="114"/>
    </row>
    <row r="750">
      <c r="C750" s="114"/>
    </row>
    <row r="751">
      <c r="C751" s="114"/>
    </row>
    <row r="752">
      <c r="C752" s="114"/>
    </row>
    <row r="753">
      <c r="C753" s="114"/>
    </row>
    <row r="754">
      <c r="C754" s="114"/>
    </row>
    <row r="755">
      <c r="C755" s="114"/>
    </row>
    <row r="756">
      <c r="C756" s="114"/>
    </row>
    <row r="757">
      <c r="C757" s="114"/>
    </row>
    <row r="758">
      <c r="C758" s="114"/>
    </row>
    <row r="759">
      <c r="C759" s="114"/>
    </row>
    <row r="760">
      <c r="C760" s="114"/>
    </row>
    <row r="761">
      <c r="C761" s="114"/>
    </row>
    <row r="762">
      <c r="C762" s="114"/>
    </row>
    <row r="763">
      <c r="C763" s="114"/>
    </row>
    <row r="764">
      <c r="C764" s="114"/>
    </row>
    <row r="765">
      <c r="C765" s="114"/>
    </row>
    <row r="766">
      <c r="C766" s="114"/>
    </row>
    <row r="767">
      <c r="C767" s="114"/>
    </row>
    <row r="768">
      <c r="C768" s="114"/>
    </row>
    <row r="769">
      <c r="C769" s="114"/>
    </row>
    <row r="770">
      <c r="C770" s="114"/>
    </row>
    <row r="771">
      <c r="C771" s="114"/>
    </row>
    <row r="772">
      <c r="C772" s="114"/>
    </row>
    <row r="773">
      <c r="C773" s="114"/>
    </row>
    <row r="774">
      <c r="C774" s="114"/>
    </row>
    <row r="775">
      <c r="C775" s="114"/>
    </row>
    <row r="776">
      <c r="C776" s="114"/>
    </row>
    <row r="777">
      <c r="C777" s="114"/>
    </row>
    <row r="778">
      <c r="C778" s="114"/>
    </row>
    <row r="779">
      <c r="C779" s="114"/>
    </row>
    <row r="780">
      <c r="C780" s="114"/>
    </row>
    <row r="781">
      <c r="C781" s="114"/>
    </row>
    <row r="782">
      <c r="C782" s="114"/>
    </row>
    <row r="783">
      <c r="C783" s="114"/>
    </row>
    <row r="784">
      <c r="C784" s="114"/>
    </row>
    <row r="785">
      <c r="C785" s="114"/>
    </row>
    <row r="786">
      <c r="C786" s="114"/>
    </row>
    <row r="787">
      <c r="C787" s="114"/>
    </row>
    <row r="788">
      <c r="C788" s="114"/>
    </row>
    <row r="789">
      <c r="C789" s="114"/>
    </row>
    <row r="790">
      <c r="C790" s="114"/>
    </row>
    <row r="791">
      <c r="C791" s="114"/>
    </row>
    <row r="792">
      <c r="C792" s="114"/>
    </row>
    <row r="793">
      <c r="C793" s="114"/>
    </row>
    <row r="794">
      <c r="C794" s="114"/>
    </row>
    <row r="795">
      <c r="C795" s="114"/>
    </row>
    <row r="796">
      <c r="C796" s="114"/>
    </row>
    <row r="797">
      <c r="C797" s="114"/>
    </row>
    <row r="798">
      <c r="C798" s="114"/>
    </row>
    <row r="799">
      <c r="C799" s="114"/>
    </row>
    <row r="800">
      <c r="C800" s="114"/>
    </row>
    <row r="801">
      <c r="C801" s="114"/>
    </row>
    <row r="802">
      <c r="C802" s="114"/>
    </row>
    <row r="803">
      <c r="C803" s="114"/>
    </row>
    <row r="804">
      <c r="C804" s="114"/>
    </row>
    <row r="805">
      <c r="C805" s="114"/>
    </row>
    <row r="806">
      <c r="C806" s="114"/>
    </row>
    <row r="807">
      <c r="C807" s="114"/>
    </row>
    <row r="808">
      <c r="C808" s="114"/>
    </row>
    <row r="809">
      <c r="C809" s="114"/>
    </row>
    <row r="810">
      <c r="C810" s="114"/>
    </row>
    <row r="811">
      <c r="C811" s="114"/>
    </row>
    <row r="812">
      <c r="C812" s="114"/>
    </row>
    <row r="813">
      <c r="C813" s="114"/>
    </row>
    <row r="814">
      <c r="C814" s="114"/>
    </row>
    <row r="815">
      <c r="C815" s="114"/>
    </row>
    <row r="816">
      <c r="C816" s="114"/>
    </row>
    <row r="817">
      <c r="C817" s="114"/>
    </row>
    <row r="818">
      <c r="C818" s="114"/>
    </row>
    <row r="819">
      <c r="C819" s="114"/>
    </row>
    <row r="820">
      <c r="C820" s="114"/>
    </row>
    <row r="821">
      <c r="C821" s="114"/>
    </row>
    <row r="822">
      <c r="C822" s="114"/>
    </row>
    <row r="823">
      <c r="C823" s="114"/>
    </row>
    <row r="824">
      <c r="C824" s="114"/>
    </row>
    <row r="825">
      <c r="C825" s="114"/>
    </row>
    <row r="826">
      <c r="C826" s="114"/>
    </row>
    <row r="827">
      <c r="C827" s="114"/>
    </row>
    <row r="828">
      <c r="C828" s="114"/>
    </row>
    <row r="829">
      <c r="C829" s="114"/>
    </row>
    <row r="830">
      <c r="C830" s="114"/>
    </row>
    <row r="831">
      <c r="C831" s="114"/>
    </row>
    <row r="832">
      <c r="C832" s="114"/>
    </row>
    <row r="833">
      <c r="C833" s="114"/>
    </row>
    <row r="834">
      <c r="C834" s="114"/>
    </row>
    <row r="835">
      <c r="C835" s="114"/>
    </row>
    <row r="836">
      <c r="C836" s="114"/>
    </row>
    <row r="837">
      <c r="C837" s="114"/>
    </row>
    <row r="838">
      <c r="C838" s="114"/>
    </row>
    <row r="839">
      <c r="C839" s="114"/>
    </row>
    <row r="840">
      <c r="C840" s="114"/>
    </row>
    <row r="841">
      <c r="C841" s="114"/>
    </row>
    <row r="842">
      <c r="C842" s="114"/>
    </row>
    <row r="843">
      <c r="C843" s="114"/>
    </row>
    <row r="844">
      <c r="C844" s="114"/>
    </row>
    <row r="845">
      <c r="C845" s="114"/>
    </row>
    <row r="846">
      <c r="C846" s="114"/>
    </row>
    <row r="847">
      <c r="C847" s="114"/>
    </row>
    <row r="848">
      <c r="C848" s="114"/>
    </row>
    <row r="849">
      <c r="C849" s="114"/>
    </row>
    <row r="850">
      <c r="C850" s="114"/>
    </row>
    <row r="851">
      <c r="C851" s="114"/>
    </row>
    <row r="852">
      <c r="C852" s="114"/>
    </row>
    <row r="853">
      <c r="C853" s="114"/>
    </row>
    <row r="854">
      <c r="C854" s="114"/>
    </row>
    <row r="855">
      <c r="C855" s="114"/>
    </row>
    <row r="856">
      <c r="C856" s="114"/>
    </row>
    <row r="857">
      <c r="C857" s="114"/>
    </row>
    <row r="858">
      <c r="C858" s="114"/>
    </row>
    <row r="859">
      <c r="C859" s="114"/>
    </row>
    <row r="860">
      <c r="C860" s="114"/>
    </row>
    <row r="861">
      <c r="C861" s="114"/>
    </row>
    <row r="862">
      <c r="C862" s="114"/>
    </row>
    <row r="863">
      <c r="C863" s="114"/>
    </row>
    <row r="864">
      <c r="C864" s="114"/>
    </row>
    <row r="865">
      <c r="C865" s="114"/>
    </row>
    <row r="866">
      <c r="C866" s="114"/>
    </row>
    <row r="867">
      <c r="C867" s="114"/>
    </row>
    <row r="868">
      <c r="C868" s="114"/>
    </row>
    <row r="869">
      <c r="C869" s="114"/>
    </row>
    <row r="870">
      <c r="C870" s="114"/>
    </row>
    <row r="871">
      <c r="C871" s="114"/>
    </row>
    <row r="872">
      <c r="C872" s="114"/>
    </row>
    <row r="873">
      <c r="C873" s="114"/>
    </row>
    <row r="874">
      <c r="C874" s="114"/>
    </row>
    <row r="875">
      <c r="C875" s="114"/>
    </row>
    <row r="876">
      <c r="C876" s="114"/>
    </row>
    <row r="877">
      <c r="C877" s="114"/>
    </row>
    <row r="878">
      <c r="C878" s="114"/>
    </row>
    <row r="879">
      <c r="C879" s="114"/>
    </row>
    <row r="880">
      <c r="C880" s="114"/>
    </row>
    <row r="881">
      <c r="C881" s="114"/>
    </row>
    <row r="882">
      <c r="C882" s="114"/>
    </row>
    <row r="883">
      <c r="C883" s="114"/>
    </row>
    <row r="884">
      <c r="C884" s="114"/>
    </row>
    <row r="885">
      <c r="C885" s="114"/>
    </row>
    <row r="886">
      <c r="C886" s="114"/>
    </row>
    <row r="887">
      <c r="C887" s="114"/>
    </row>
    <row r="888">
      <c r="C888" s="114"/>
    </row>
    <row r="889">
      <c r="C889" s="114"/>
    </row>
    <row r="890">
      <c r="C890" s="114"/>
    </row>
    <row r="891">
      <c r="C891" s="114"/>
    </row>
    <row r="892">
      <c r="C892" s="114"/>
    </row>
    <row r="893">
      <c r="C893" s="114"/>
    </row>
    <row r="894">
      <c r="C894" s="114"/>
    </row>
    <row r="895">
      <c r="C895" s="114"/>
    </row>
    <row r="896">
      <c r="C896" s="114"/>
    </row>
    <row r="897">
      <c r="C897" s="114"/>
    </row>
    <row r="898">
      <c r="C898" s="114"/>
    </row>
    <row r="899">
      <c r="C899" s="114"/>
    </row>
    <row r="900">
      <c r="C900" s="114"/>
    </row>
    <row r="901">
      <c r="C901" s="114"/>
    </row>
    <row r="902">
      <c r="C902" s="114"/>
    </row>
    <row r="903">
      <c r="C903" s="114"/>
    </row>
    <row r="904">
      <c r="C904" s="114"/>
    </row>
    <row r="905">
      <c r="C905" s="114"/>
    </row>
    <row r="906">
      <c r="C906" s="114"/>
    </row>
  </sheetData>
  <mergeCells count="8">
    <mergeCell ref="A3:C3"/>
    <mergeCell ref="A10:C10"/>
    <mergeCell ref="A16:C16"/>
    <mergeCell ref="A20:C20"/>
    <mergeCell ref="A24:C24"/>
    <mergeCell ref="A29:C29"/>
    <mergeCell ref="A35:C35"/>
    <mergeCell ref="A40:C4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6.63"/>
    <col customWidth="1" min="2" max="2" width="32.5"/>
    <col customWidth="1" min="3" max="6" width="10.75"/>
    <col customWidth="1" min="7" max="7" width="13.25"/>
    <col customWidth="1" min="8" max="10" width="10.75"/>
    <col customWidth="1" min="11" max="12" width="11.25"/>
    <col customWidth="1" min="13" max="13" width="9.13"/>
    <col customWidth="1" min="15" max="15" width="7.63"/>
    <col customWidth="1" min="16" max="16" width="11.25"/>
  </cols>
  <sheetData>
    <row r="1" ht="41.25" customHeight="1">
      <c r="A1" s="172"/>
      <c r="B1" s="183" t="s">
        <v>4</v>
      </c>
      <c r="C1" s="185" t="s">
        <v>169</v>
      </c>
      <c r="D1" s="185" t="s">
        <v>170</v>
      </c>
      <c r="E1" s="185" t="s">
        <v>171</v>
      </c>
      <c r="F1" s="185" t="s">
        <v>175</v>
      </c>
      <c r="G1" s="185" t="s">
        <v>172</v>
      </c>
      <c r="H1" s="185" t="s">
        <v>7</v>
      </c>
      <c r="I1" s="185" t="s">
        <v>9</v>
      </c>
      <c r="J1" s="183" t="s">
        <v>173</v>
      </c>
      <c r="K1" s="185" t="s">
        <v>174</v>
      </c>
      <c r="L1" s="189" t="s">
        <v>179</v>
      </c>
      <c r="M1" s="174"/>
      <c r="N1" s="174"/>
    </row>
    <row r="2" outlineLevel="1">
      <c r="A2" s="175" t="s">
        <v>91</v>
      </c>
      <c r="B2" s="12" t="s">
        <v>37</v>
      </c>
      <c r="C2" s="176">
        <v>46051.0</v>
      </c>
      <c r="D2" s="9" t="s">
        <v>180</v>
      </c>
      <c r="E2" s="9">
        <v>220.0</v>
      </c>
      <c r="F2" s="139">
        <v>3461.0</v>
      </c>
      <c r="G2" s="9">
        <v>51.0</v>
      </c>
      <c r="H2" s="9">
        <v>3.0</v>
      </c>
      <c r="I2" s="9">
        <v>1.0</v>
      </c>
      <c r="J2" s="9">
        <v>37.0</v>
      </c>
      <c r="K2" s="94">
        <f>SUM(G2:J2)</f>
        <v>92</v>
      </c>
      <c r="L2" s="192"/>
    </row>
    <row r="3" outlineLevel="1">
      <c r="A3" s="191"/>
      <c r="B3" s="195" t="s">
        <v>36</v>
      </c>
      <c r="C3" s="15"/>
      <c r="D3" s="17"/>
      <c r="E3" s="182">
        <f t="shared" ref="E3:K3" si="1">SUM(E2)</f>
        <v>220</v>
      </c>
      <c r="F3" s="181">
        <f t="shared" si="1"/>
        <v>3461</v>
      </c>
      <c r="G3" s="182">
        <f t="shared" si="1"/>
        <v>51</v>
      </c>
      <c r="H3" s="182">
        <f t="shared" si="1"/>
        <v>3</v>
      </c>
      <c r="I3" s="182">
        <f t="shared" si="1"/>
        <v>1</v>
      </c>
      <c r="J3" s="182">
        <f t="shared" si="1"/>
        <v>37</v>
      </c>
      <c r="K3" s="182">
        <f t="shared" si="1"/>
        <v>92</v>
      </c>
      <c r="L3" s="197">
        <f>E3/K3</f>
        <v>2.391304348</v>
      </c>
    </row>
    <row r="4" outlineLevel="1">
      <c r="A4" s="175" t="s">
        <v>92</v>
      </c>
      <c r="B4" s="12" t="s">
        <v>46</v>
      </c>
      <c r="C4" s="176">
        <v>46070.0</v>
      </c>
      <c r="D4" s="9" t="s">
        <v>180</v>
      </c>
      <c r="E4" s="9">
        <v>220.0</v>
      </c>
      <c r="F4" s="139">
        <v>5668.0</v>
      </c>
      <c r="G4" s="9">
        <v>548.0</v>
      </c>
      <c r="H4" s="9">
        <v>5.0</v>
      </c>
      <c r="I4" s="9">
        <v>1.0</v>
      </c>
      <c r="J4" s="9">
        <v>2.0</v>
      </c>
      <c r="K4" s="94">
        <f t="shared" ref="K4:K5" si="2">SUM(G4:J4)</f>
        <v>556</v>
      </c>
      <c r="L4" s="192"/>
    </row>
    <row r="5" outlineLevel="1">
      <c r="A5" s="177"/>
      <c r="B5" s="198" t="s">
        <v>39</v>
      </c>
      <c r="C5" s="199">
        <v>46073.0</v>
      </c>
      <c r="D5" s="175" t="s">
        <v>180</v>
      </c>
      <c r="E5" s="175">
        <v>220.0</v>
      </c>
      <c r="F5" s="200">
        <v>2599.0</v>
      </c>
      <c r="G5" s="175">
        <v>980.0</v>
      </c>
      <c r="H5" s="175">
        <v>5.0</v>
      </c>
      <c r="I5" s="175">
        <v>1.0</v>
      </c>
      <c r="J5" s="175">
        <v>6.0</v>
      </c>
      <c r="K5" s="201">
        <f t="shared" si="2"/>
        <v>992</v>
      </c>
      <c r="L5" s="197"/>
    </row>
    <row r="6" outlineLevel="1">
      <c r="A6" s="177"/>
      <c r="B6" s="198" t="s">
        <v>45</v>
      </c>
      <c r="C6" s="191"/>
      <c r="D6" s="191"/>
      <c r="E6" s="191"/>
      <c r="F6" s="191"/>
      <c r="G6" s="191"/>
      <c r="H6" s="191"/>
      <c r="I6" s="191"/>
      <c r="J6" s="191"/>
      <c r="K6" s="191"/>
      <c r="L6" s="197"/>
    </row>
    <row r="7" outlineLevel="1">
      <c r="A7" s="177"/>
      <c r="B7" s="12" t="s">
        <v>48</v>
      </c>
      <c r="C7" s="176">
        <v>46076.0</v>
      </c>
      <c r="D7" s="9" t="s">
        <v>180</v>
      </c>
      <c r="E7" s="9">
        <v>100.0</v>
      </c>
      <c r="F7" s="139">
        <v>685.0</v>
      </c>
      <c r="G7" s="9">
        <v>311.0</v>
      </c>
      <c r="H7" s="9">
        <v>1.0</v>
      </c>
      <c r="I7" s="9">
        <v>0.0</v>
      </c>
      <c r="J7" s="9">
        <v>1.0</v>
      </c>
      <c r="K7" s="94">
        <f>SUM(G7:J7)</f>
        <v>313</v>
      </c>
      <c r="L7" s="197"/>
    </row>
    <row r="8" outlineLevel="1">
      <c r="A8" s="191"/>
      <c r="B8" s="195" t="s">
        <v>54</v>
      </c>
      <c r="C8" s="15"/>
      <c r="D8" s="17"/>
      <c r="E8" s="182">
        <f t="shared" ref="E8:K8" si="3">SUM(E4:E7)</f>
        <v>540</v>
      </c>
      <c r="F8" s="181">
        <f t="shared" si="3"/>
        <v>8952</v>
      </c>
      <c r="G8" s="182">
        <f t="shared" si="3"/>
        <v>1839</v>
      </c>
      <c r="H8" s="182">
        <f t="shared" si="3"/>
        <v>11</v>
      </c>
      <c r="I8" s="182">
        <f t="shared" si="3"/>
        <v>2</v>
      </c>
      <c r="J8" s="182">
        <f t="shared" si="3"/>
        <v>9</v>
      </c>
      <c r="K8" s="182">
        <f t="shared" si="3"/>
        <v>1861</v>
      </c>
      <c r="L8" s="197">
        <f>E8/K8</f>
        <v>0.2901665771</v>
      </c>
    </row>
    <row r="9" outlineLevel="1">
      <c r="A9" s="175" t="s">
        <v>94</v>
      </c>
      <c r="B9" s="12" t="s">
        <v>63</v>
      </c>
      <c r="C9" s="176">
        <v>46087.0</v>
      </c>
      <c r="D9" s="9" t="s">
        <v>180</v>
      </c>
      <c r="E9" s="9">
        <v>220.0</v>
      </c>
      <c r="F9" s="139">
        <v>3695.0</v>
      </c>
      <c r="G9" s="9">
        <v>101.0</v>
      </c>
      <c r="H9" s="9">
        <v>3.0</v>
      </c>
      <c r="I9" s="9">
        <v>2.0</v>
      </c>
      <c r="J9" s="9">
        <v>115.0</v>
      </c>
      <c r="K9" s="94">
        <f t="shared" ref="K9:K11" si="4">SUM(G9:J9)</f>
        <v>221</v>
      </c>
      <c r="L9" s="192"/>
    </row>
    <row r="10" outlineLevel="1">
      <c r="A10" s="177"/>
      <c r="B10" s="12" t="s">
        <v>63</v>
      </c>
      <c r="C10" s="176">
        <v>46098.0</v>
      </c>
      <c r="D10" s="9" t="s">
        <v>180</v>
      </c>
      <c r="E10" s="9">
        <v>84.4</v>
      </c>
      <c r="F10" s="139">
        <v>3199.0</v>
      </c>
      <c r="G10" s="9">
        <v>226.0</v>
      </c>
      <c r="H10" s="9">
        <v>10.0</v>
      </c>
      <c r="I10" s="9">
        <v>1.0</v>
      </c>
      <c r="J10" s="9">
        <v>1.0</v>
      </c>
      <c r="K10" s="94">
        <f t="shared" si="4"/>
        <v>238</v>
      </c>
      <c r="L10" s="197"/>
    </row>
    <row r="11" outlineLevel="1">
      <c r="A11" s="177"/>
      <c r="B11" s="12" t="s">
        <v>68</v>
      </c>
      <c r="C11" s="176">
        <v>46107.0</v>
      </c>
      <c r="D11" s="9" t="s">
        <v>180</v>
      </c>
      <c r="E11" s="9">
        <v>220.0</v>
      </c>
      <c r="F11" s="139">
        <v>4286.0</v>
      </c>
      <c r="G11" s="9">
        <v>59.0</v>
      </c>
      <c r="H11" s="9">
        <v>2.0</v>
      </c>
      <c r="I11" s="9">
        <v>3.0</v>
      </c>
      <c r="J11" s="9">
        <v>64.0</v>
      </c>
      <c r="K11" s="94">
        <f t="shared" si="4"/>
        <v>128</v>
      </c>
      <c r="L11" s="197"/>
    </row>
    <row r="12" outlineLevel="1">
      <c r="A12" s="191"/>
      <c r="B12" s="195" t="s">
        <v>60</v>
      </c>
      <c r="C12" s="15"/>
      <c r="D12" s="17"/>
      <c r="E12" s="182">
        <f t="shared" ref="E12:K12" si="5">SUM(E9:E11)</f>
        <v>524.4</v>
      </c>
      <c r="F12" s="181">
        <f t="shared" si="5"/>
        <v>11180</v>
      </c>
      <c r="G12" s="182">
        <f t="shared" si="5"/>
        <v>386</v>
      </c>
      <c r="H12" s="182">
        <f t="shared" si="5"/>
        <v>15</v>
      </c>
      <c r="I12" s="182">
        <f t="shared" si="5"/>
        <v>6</v>
      </c>
      <c r="J12" s="182">
        <f t="shared" si="5"/>
        <v>180</v>
      </c>
      <c r="K12" s="182">
        <f t="shared" si="5"/>
        <v>587</v>
      </c>
      <c r="L12" s="197">
        <f>E12/K12</f>
        <v>0.8933560477</v>
      </c>
    </row>
    <row r="13" outlineLevel="1">
      <c r="A13" s="175" t="s">
        <v>95</v>
      </c>
      <c r="B13" s="206" t="s">
        <v>82</v>
      </c>
      <c r="C13" s="207">
        <v>46133.0</v>
      </c>
      <c r="D13" s="208" t="s">
        <v>185</v>
      </c>
      <c r="E13" s="208">
        <v>220.0</v>
      </c>
      <c r="F13" s="208">
        <v>3578.0</v>
      </c>
      <c r="G13" s="208">
        <v>19.0</v>
      </c>
      <c r="H13" s="208">
        <v>0.0</v>
      </c>
      <c r="I13" s="208">
        <v>0.0</v>
      </c>
      <c r="J13" s="208">
        <v>8.0</v>
      </c>
      <c r="K13" s="209">
        <f t="shared" ref="K13:K14" si="6">SUM(G13:J13)</f>
        <v>27</v>
      </c>
      <c r="L13" s="192"/>
    </row>
    <row r="14" outlineLevel="1">
      <c r="A14" s="177"/>
      <c r="B14" s="206" t="s">
        <v>158</v>
      </c>
      <c r="C14" s="207">
        <v>46142.0</v>
      </c>
      <c r="D14" s="208" t="s">
        <v>185</v>
      </c>
      <c r="E14" s="208">
        <v>220.0</v>
      </c>
      <c r="F14" s="208">
        <v>9191.0</v>
      </c>
      <c r="G14" s="208">
        <v>95.0</v>
      </c>
      <c r="H14" s="208">
        <v>9.0</v>
      </c>
      <c r="I14" s="208">
        <v>4.0</v>
      </c>
      <c r="J14" s="208">
        <v>31.0</v>
      </c>
      <c r="K14" s="209">
        <f t="shared" si="6"/>
        <v>139</v>
      </c>
      <c r="L14" s="210"/>
    </row>
    <row r="15" outlineLevel="1">
      <c r="A15" s="191"/>
      <c r="B15" s="211" t="s">
        <v>80</v>
      </c>
      <c r="C15" s="15"/>
      <c r="D15" s="17"/>
      <c r="E15" s="212">
        <f t="shared" ref="E15:K15" si="7">SUM(E13:E14)</f>
        <v>440</v>
      </c>
      <c r="F15" s="213">
        <f t="shared" si="7"/>
        <v>12769</v>
      </c>
      <c r="G15" s="212">
        <f t="shared" si="7"/>
        <v>114</v>
      </c>
      <c r="H15" s="212">
        <f t="shared" si="7"/>
        <v>9</v>
      </c>
      <c r="I15" s="212">
        <f t="shared" si="7"/>
        <v>4</v>
      </c>
      <c r="J15" s="212">
        <f t="shared" si="7"/>
        <v>39</v>
      </c>
      <c r="K15" s="212">
        <f t="shared" si="7"/>
        <v>166</v>
      </c>
      <c r="L15" s="210">
        <f>E15/K15</f>
        <v>2.65060241</v>
      </c>
    </row>
    <row r="16" outlineLevel="1">
      <c r="A16" s="184" t="s">
        <v>96</v>
      </c>
      <c r="B16" s="186" t="s">
        <v>158</v>
      </c>
      <c r="C16" s="196">
        <v>46160.0</v>
      </c>
      <c r="D16" s="50" t="s">
        <v>185</v>
      </c>
      <c r="E16" s="50">
        <v>220.0</v>
      </c>
      <c r="F16" s="50">
        <v>3416.0</v>
      </c>
      <c r="G16" s="50">
        <v>115.0</v>
      </c>
      <c r="H16" s="50">
        <v>3.0</v>
      </c>
      <c r="I16" s="50">
        <v>5.0</v>
      </c>
      <c r="J16" s="50">
        <v>57.0</v>
      </c>
      <c r="K16" s="54">
        <f t="shared" ref="K16:K18" si="8">SUM(G16:J16)</f>
        <v>180</v>
      </c>
      <c r="L16" s="192"/>
      <c r="U16" s="214" t="s">
        <v>186</v>
      </c>
    </row>
    <row r="17" outlineLevel="1">
      <c r="A17" s="177"/>
      <c r="B17" s="186" t="s">
        <v>158</v>
      </c>
      <c r="C17" s="196">
        <v>46162.0</v>
      </c>
      <c r="D17" s="215" t="s">
        <v>187</v>
      </c>
      <c r="E17" s="50">
        <v>220.0</v>
      </c>
      <c r="F17" s="50">
        <v>3905.0</v>
      </c>
      <c r="G17" s="50">
        <v>374.0</v>
      </c>
      <c r="H17" s="50">
        <v>0.0</v>
      </c>
      <c r="I17" s="50">
        <v>1.0</v>
      </c>
      <c r="J17" s="50">
        <v>1.0</v>
      </c>
      <c r="K17" s="54">
        <f t="shared" si="8"/>
        <v>376</v>
      </c>
      <c r="L17" s="216"/>
    </row>
    <row r="18" outlineLevel="1">
      <c r="A18" s="177"/>
      <c r="B18" s="53" t="s">
        <v>82</v>
      </c>
      <c r="C18" s="196">
        <v>46168.0</v>
      </c>
      <c r="D18" s="50" t="s">
        <v>185</v>
      </c>
      <c r="E18" s="50">
        <v>220.0</v>
      </c>
      <c r="F18" s="50">
        <v>4648.0</v>
      </c>
      <c r="G18" s="50">
        <v>59.0</v>
      </c>
      <c r="H18" s="50">
        <v>7.0</v>
      </c>
      <c r="I18" s="50">
        <v>6.0</v>
      </c>
      <c r="J18" s="50">
        <v>54.0</v>
      </c>
      <c r="K18" s="54">
        <f t="shared" si="8"/>
        <v>126</v>
      </c>
      <c r="L18" s="216"/>
    </row>
    <row r="19" outlineLevel="1">
      <c r="A19" s="191"/>
      <c r="B19" s="217" t="s">
        <v>110</v>
      </c>
      <c r="C19" s="179"/>
      <c r="D19" s="180"/>
      <c r="E19" s="218">
        <f t="shared" ref="E19:K19" si="9">SUM(E16:E18)</f>
        <v>660</v>
      </c>
      <c r="F19" s="219">
        <f t="shared" si="9"/>
        <v>11969</v>
      </c>
      <c r="G19" s="218">
        <f t="shared" si="9"/>
        <v>548</v>
      </c>
      <c r="H19" s="218">
        <f t="shared" si="9"/>
        <v>10</v>
      </c>
      <c r="I19" s="218">
        <f t="shared" si="9"/>
        <v>12</v>
      </c>
      <c r="J19" s="218">
        <f t="shared" si="9"/>
        <v>112</v>
      </c>
      <c r="K19" s="218">
        <f t="shared" si="9"/>
        <v>682</v>
      </c>
      <c r="L19" s="220">
        <f>E19/K19</f>
        <v>0.9677419355</v>
      </c>
    </row>
    <row r="20" outlineLevel="1">
      <c r="A20" s="184" t="s">
        <v>98</v>
      </c>
      <c r="B20" s="53" t="s">
        <v>160</v>
      </c>
      <c r="C20" s="196">
        <v>46174.0</v>
      </c>
      <c r="D20" s="50" t="s">
        <v>185</v>
      </c>
      <c r="E20" s="50">
        <v>220.0</v>
      </c>
      <c r="F20" s="151">
        <v>7044.0</v>
      </c>
      <c r="G20" s="50">
        <v>53.0</v>
      </c>
      <c r="H20" s="50">
        <v>1.0</v>
      </c>
      <c r="I20" s="50">
        <v>2.0</v>
      </c>
      <c r="J20" s="50">
        <v>35.0</v>
      </c>
      <c r="K20" s="54">
        <f t="shared" ref="K20:K25" si="10">SUM(G20:J20)</f>
        <v>91</v>
      </c>
      <c r="L20" s="54"/>
    </row>
    <row r="21" outlineLevel="1">
      <c r="A21" s="177"/>
      <c r="B21" s="186" t="s">
        <v>122</v>
      </c>
      <c r="C21" s="196">
        <v>46183.0</v>
      </c>
      <c r="D21" s="221" t="s">
        <v>187</v>
      </c>
      <c r="E21" s="222">
        <v>200.0</v>
      </c>
      <c r="F21" s="151">
        <v>6656.0</v>
      </c>
      <c r="G21" s="50">
        <v>170.0</v>
      </c>
      <c r="H21" s="50">
        <v>2.0</v>
      </c>
      <c r="I21" s="50">
        <v>17.0</v>
      </c>
      <c r="J21" s="50">
        <v>4.0</v>
      </c>
      <c r="K21" s="54">
        <f t="shared" si="10"/>
        <v>193</v>
      </c>
      <c r="L21" s="223"/>
    </row>
    <row r="22" outlineLevel="1">
      <c r="A22" s="177"/>
      <c r="B22" s="186" t="s">
        <v>126</v>
      </c>
      <c r="C22" s="196">
        <v>46191.0</v>
      </c>
      <c r="D22" s="221" t="s">
        <v>187</v>
      </c>
      <c r="E22" s="222">
        <v>110.0</v>
      </c>
      <c r="F22" s="151">
        <v>1948.0</v>
      </c>
      <c r="G22" s="50">
        <v>72.0</v>
      </c>
      <c r="H22" s="50">
        <v>0.0</v>
      </c>
      <c r="I22" s="50">
        <v>1.0</v>
      </c>
      <c r="J22" s="50">
        <v>1.0</v>
      </c>
      <c r="K22" s="54">
        <f t="shared" si="10"/>
        <v>74</v>
      </c>
      <c r="L22" s="223"/>
    </row>
    <row r="23" outlineLevel="1">
      <c r="A23" s="177"/>
      <c r="B23" s="186" t="s">
        <v>126</v>
      </c>
      <c r="C23" s="196">
        <v>46196.0</v>
      </c>
      <c r="D23" s="221" t="s">
        <v>187</v>
      </c>
      <c r="E23" s="50">
        <v>200.0</v>
      </c>
      <c r="F23" s="151">
        <v>3807.0</v>
      </c>
      <c r="G23" s="50">
        <v>376.0</v>
      </c>
      <c r="H23" s="50">
        <v>3.0</v>
      </c>
      <c r="I23" s="50">
        <v>2.0</v>
      </c>
      <c r="J23" s="50">
        <v>1.0</v>
      </c>
      <c r="K23" s="224">
        <f t="shared" si="10"/>
        <v>382</v>
      </c>
      <c r="L23" s="223"/>
    </row>
    <row r="24" outlineLevel="1">
      <c r="A24" s="177"/>
      <c r="B24" s="186" t="s">
        <v>112</v>
      </c>
      <c r="C24" s="196">
        <v>46196.0</v>
      </c>
      <c r="D24" s="50" t="s">
        <v>185</v>
      </c>
      <c r="E24" s="50">
        <v>200.0</v>
      </c>
      <c r="F24" s="151">
        <v>4177.0</v>
      </c>
      <c r="G24" s="50">
        <v>47.0</v>
      </c>
      <c r="H24" s="50">
        <v>2.0</v>
      </c>
      <c r="I24" s="50">
        <v>2.0</v>
      </c>
      <c r="J24" s="50">
        <v>40.0</v>
      </c>
      <c r="K24" s="54">
        <f t="shared" si="10"/>
        <v>91</v>
      </c>
      <c r="L24" s="223"/>
    </row>
    <row r="25" outlineLevel="1">
      <c r="A25" s="177"/>
      <c r="B25" s="186" t="s">
        <v>188</v>
      </c>
      <c r="C25" s="196">
        <v>46203.0</v>
      </c>
      <c r="D25" s="50" t="s">
        <v>185</v>
      </c>
      <c r="E25" s="50">
        <v>200.0</v>
      </c>
      <c r="F25" s="151">
        <v>5619.0</v>
      </c>
      <c r="G25" s="50">
        <v>82.0</v>
      </c>
      <c r="H25" s="50">
        <v>2.0</v>
      </c>
      <c r="I25" s="50">
        <v>0.0</v>
      </c>
      <c r="J25" s="79">
        <v>52.0</v>
      </c>
      <c r="K25" s="54">
        <f t="shared" si="10"/>
        <v>136</v>
      </c>
      <c r="L25" s="223"/>
    </row>
    <row r="26" outlineLevel="1">
      <c r="A26" s="191"/>
      <c r="B26" s="202" t="s">
        <v>164</v>
      </c>
      <c r="C26" s="15"/>
      <c r="D26" s="17"/>
      <c r="E26" s="204">
        <f t="shared" ref="E26:K26" si="11">SUM(E20:E25)</f>
        <v>1130</v>
      </c>
      <c r="F26" s="204">
        <f t="shared" si="11"/>
        <v>29251</v>
      </c>
      <c r="G26" s="205">
        <f t="shared" si="11"/>
        <v>800</v>
      </c>
      <c r="H26" s="205">
        <f t="shared" si="11"/>
        <v>10</v>
      </c>
      <c r="I26" s="205">
        <f t="shared" si="11"/>
        <v>24</v>
      </c>
      <c r="J26" s="205">
        <f t="shared" si="11"/>
        <v>133</v>
      </c>
      <c r="K26" s="205">
        <f t="shared" si="11"/>
        <v>967</v>
      </c>
      <c r="L26" s="220">
        <f>E26/K26</f>
        <v>1.168562565</v>
      </c>
    </row>
    <row r="27">
      <c r="A27" s="184" t="s">
        <v>99</v>
      </c>
      <c r="B27" s="186" t="s">
        <v>133</v>
      </c>
      <c r="C27" s="196">
        <v>46209.0</v>
      </c>
      <c r="D27" s="221" t="s">
        <v>187</v>
      </c>
      <c r="E27" s="50">
        <v>200.0</v>
      </c>
      <c r="F27" s="151">
        <v>4587.0</v>
      </c>
      <c r="G27" s="50">
        <v>112.0</v>
      </c>
      <c r="H27" s="50">
        <v>3.0</v>
      </c>
      <c r="I27" s="50">
        <v>0.0</v>
      </c>
      <c r="J27" s="50">
        <v>1.0</v>
      </c>
      <c r="K27" s="54">
        <f t="shared" ref="K27:K35" si="12">SUM(G27:J27)</f>
        <v>116</v>
      </c>
      <c r="L27" s="223"/>
    </row>
    <row r="28">
      <c r="A28" s="177"/>
      <c r="B28" s="186" t="s">
        <v>165</v>
      </c>
      <c r="C28" s="196">
        <v>46213.0</v>
      </c>
      <c r="D28" s="50" t="s">
        <v>185</v>
      </c>
      <c r="E28" s="50">
        <v>200.0</v>
      </c>
      <c r="F28" s="151">
        <v>4031.0</v>
      </c>
      <c r="G28" s="50">
        <v>55.0</v>
      </c>
      <c r="H28" s="50">
        <v>0.0</v>
      </c>
      <c r="I28" s="50">
        <v>3.0</v>
      </c>
      <c r="J28" s="50">
        <v>33.0</v>
      </c>
      <c r="K28" s="54">
        <f t="shared" si="12"/>
        <v>91</v>
      </c>
      <c r="L28" s="223"/>
    </row>
    <row r="29">
      <c r="A29" s="177"/>
      <c r="B29" s="186" t="s">
        <v>165</v>
      </c>
      <c r="C29" s="196">
        <v>46216.0</v>
      </c>
      <c r="D29" s="221" t="s">
        <v>187</v>
      </c>
      <c r="E29" s="50">
        <v>200.0</v>
      </c>
      <c r="F29" s="151">
        <v>2973.0</v>
      </c>
      <c r="G29" s="50">
        <v>777.0</v>
      </c>
      <c r="H29" s="50">
        <v>0.0</v>
      </c>
      <c r="I29" s="50">
        <v>1.0</v>
      </c>
      <c r="J29" s="50">
        <v>2.0</v>
      </c>
      <c r="K29" s="224">
        <f t="shared" si="12"/>
        <v>780</v>
      </c>
      <c r="L29" s="223"/>
    </row>
    <row r="30">
      <c r="A30" s="177"/>
      <c r="B30" s="186" t="s">
        <v>165</v>
      </c>
      <c r="C30" s="196">
        <v>46218.0</v>
      </c>
      <c r="D30" s="50" t="s">
        <v>185</v>
      </c>
      <c r="E30" s="50">
        <v>200.0</v>
      </c>
      <c r="F30" s="151">
        <v>4026.0</v>
      </c>
      <c r="G30" s="50">
        <v>40.0</v>
      </c>
      <c r="H30" s="50">
        <v>0.0</v>
      </c>
      <c r="I30" s="50">
        <v>1.0</v>
      </c>
      <c r="J30" s="50">
        <v>18.0</v>
      </c>
      <c r="K30" s="54">
        <f t="shared" si="12"/>
        <v>59</v>
      </c>
      <c r="L30" s="223"/>
    </row>
    <row r="31">
      <c r="A31" s="177"/>
      <c r="B31" s="186" t="s">
        <v>166</v>
      </c>
      <c r="C31" s="196">
        <v>46223.0</v>
      </c>
      <c r="D31" s="221" t="s">
        <v>187</v>
      </c>
      <c r="E31" s="50">
        <v>200.0</v>
      </c>
      <c r="F31" s="151">
        <v>5570.0</v>
      </c>
      <c r="G31" s="50">
        <v>124.0</v>
      </c>
      <c r="H31" s="50">
        <v>1.0</v>
      </c>
      <c r="I31" s="50">
        <v>3.0</v>
      </c>
      <c r="J31" s="50">
        <v>0.0</v>
      </c>
      <c r="K31" s="54">
        <f t="shared" si="12"/>
        <v>128</v>
      </c>
      <c r="L31" s="223"/>
    </row>
    <row r="32">
      <c r="A32" s="177"/>
      <c r="B32" s="186" t="s">
        <v>125</v>
      </c>
      <c r="C32" s="196">
        <v>46225.0</v>
      </c>
      <c r="D32" s="50" t="s">
        <v>185</v>
      </c>
      <c r="E32" s="50">
        <v>200.0</v>
      </c>
      <c r="F32" s="151">
        <v>4570.0</v>
      </c>
      <c r="G32" s="50">
        <v>82.0</v>
      </c>
      <c r="H32" s="50">
        <v>2.0</v>
      </c>
      <c r="I32" s="50">
        <v>1.0</v>
      </c>
      <c r="J32" s="50">
        <v>45.0</v>
      </c>
      <c r="K32" s="54">
        <f t="shared" si="12"/>
        <v>130</v>
      </c>
      <c r="L32" s="223"/>
    </row>
    <row r="33">
      <c r="A33" s="177"/>
      <c r="B33" s="186" t="s">
        <v>125</v>
      </c>
      <c r="C33" s="196">
        <v>46226.0</v>
      </c>
      <c r="D33" s="221" t="s">
        <v>187</v>
      </c>
      <c r="E33" s="50">
        <v>110.0</v>
      </c>
      <c r="F33" s="151">
        <v>3517.0</v>
      </c>
      <c r="G33" s="50">
        <v>81.0</v>
      </c>
      <c r="H33" s="50">
        <v>1.0</v>
      </c>
      <c r="I33" s="50">
        <v>11.0</v>
      </c>
      <c r="J33" s="50">
        <v>1.0</v>
      </c>
      <c r="K33" s="54">
        <f t="shared" si="12"/>
        <v>94</v>
      </c>
      <c r="L33" s="223"/>
    </row>
    <row r="34">
      <c r="A34" s="177"/>
      <c r="B34" s="186" t="s">
        <v>125</v>
      </c>
      <c r="C34" s="196">
        <v>46231.0</v>
      </c>
      <c r="D34" s="50" t="s">
        <v>185</v>
      </c>
      <c r="E34" s="50">
        <v>200.0</v>
      </c>
      <c r="F34" s="151">
        <v>5226.0</v>
      </c>
      <c r="G34" s="50">
        <v>247.0</v>
      </c>
      <c r="H34" s="50">
        <v>0.0</v>
      </c>
      <c r="I34" s="50">
        <v>38.0</v>
      </c>
      <c r="J34" s="79">
        <v>147.0</v>
      </c>
      <c r="K34" s="54">
        <f t="shared" si="12"/>
        <v>432</v>
      </c>
      <c r="L34" s="223"/>
    </row>
    <row r="35">
      <c r="A35" s="177"/>
      <c r="B35" s="186" t="s">
        <v>142</v>
      </c>
      <c r="C35" s="196">
        <v>46234.0</v>
      </c>
      <c r="D35" s="50" t="s">
        <v>185</v>
      </c>
      <c r="E35" s="50">
        <v>200.0</v>
      </c>
      <c r="F35" s="234">
        <v>6759.0</v>
      </c>
      <c r="G35" s="50">
        <v>219.0</v>
      </c>
      <c r="H35" s="50">
        <v>2.0</v>
      </c>
      <c r="I35" s="50">
        <v>45.0</v>
      </c>
      <c r="J35" s="50">
        <v>121.0</v>
      </c>
      <c r="K35" s="54">
        <f t="shared" si="12"/>
        <v>387</v>
      </c>
      <c r="L35" s="223"/>
    </row>
    <row r="36">
      <c r="A36" s="191"/>
      <c r="B36" s="202" t="s">
        <v>130</v>
      </c>
      <c r="C36" s="15"/>
      <c r="D36" s="17"/>
      <c r="E36" s="204">
        <f t="shared" ref="E36:K36" si="13">SUM(E27:E35)</f>
        <v>1710</v>
      </c>
      <c r="F36" s="204">
        <f t="shared" si="13"/>
        <v>41259</v>
      </c>
      <c r="G36" s="204">
        <f t="shared" si="13"/>
        <v>1737</v>
      </c>
      <c r="H36" s="204">
        <f t="shared" si="13"/>
        <v>9</v>
      </c>
      <c r="I36" s="204">
        <f t="shared" si="13"/>
        <v>103</v>
      </c>
      <c r="J36" s="204">
        <f t="shared" si="13"/>
        <v>368</v>
      </c>
      <c r="K36" s="204">
        <f t="shared" si="13"/>
        <v>2217</v>
      </c>
      <c r="L36" s="238">
        <f>E36/K36</f>
        <v>0.7713125846</v>
      </c>
    </row>
    <row r="37">
      <c r="A37" s="184" t="s">
        <v>100</v>
      </c>
      <c r="B37" s="186" t="s">
        <v>145</v>
      </c>
      <c r="C37" s="196">
        <v>46246.0</v>
      </c>
      <c r="D37" s="50" t="s">
        <v>185</v>
      </c>
      <c r="E37" s="50">
        <v>110.0</v>
      </c>
      <c r="F37" s="151">
        <v>2537.0</v>
      </c>
      <c r="G37" s="50">
        <v>57.0</v>
      </c>
      <c r="H37" s="50">
        <v>2.0</v>
      </c>
      <c r="I37" s="50">
        <v>6.0</v>
      </c>
      <c r="J37" s="50">
        <v>57.0</v>
      </c>
      <c r="K37" s="54">
        <f t="shared" ref="K37:K43" si="14">SUM(G37:J37)</f>
        <v>122</v>
      </c>
      <c r="L37" s="223"/>
    </row>
    <row r="38">
      <c r="A38" s="177"/>
      <c r="B38" s="186" t="s">
        <v>134</v>
      </c>
      <c r="C38" s="196">
        <v>46247.0</v>
      </c>
      <c r="D38" s="221" t="s">
        <v>187</v>
      </c>
      <c r="E38" s="50">
        <v>200.0</v>
      </c>
      <c r="F38" s="151">
        <v>5067.0</v>
      </c>
      <c r="G38" s="50">
        <v>356.0</v>
      </c>
      <c r="H38" s="50">
        <v>1.0</v>
      </c>
      <c r="I38" s="50">
        <v>4.0</v>
      </c>
      <c r="J38" s="50">
        <v>0.0</v>
      </c>
      <c r="K38" s="54">
        <f t="shared" si="14"/>
        <v>361</v>
      </c>
      <c r="L38" s="223"/>
    </row>
    <row r="39">
      <c r="A39" s="177"/>
      <c r="B39" s="186" t="s">
        <v>145</v>
      </c>
      <c r="C39" s="196">
        <v>46247.0</v>
      </c>
      <c r="D39" s="50" t="s">
        <v>185</v>
      </c>
      <c r="E39" s="50">
        <v>110.0</v>
      </c>
      <c r="F39" s="151">
        <v>2322.0</v>
      </c>
      <c r="G39" s="50">
        <v>50.0</v>
      </c>
      <c r="H39" s="50">
        <v>1.0</v>
      </c>
      <c r="I39" s="50">
        <v>3.0</v>
      </c>
      <c r="J39" s="50">
        <v>44.0</v>
      </c>
      <c r="K39" s="54">
        <f t="shared" si="14"/>
        <v>98</v>
      </c>
      <c r="L39" s="223"/>
    </row>
    <row r="40">
      <c r="A40" s="177"/>
      <c r="B40" s="186" t="s">
        <v>143</v>
      </c>
      <c r="C40" s="196">
        <v>46253.0</v>
      </c>
      <c r="D40" s="221" t="s">
        <v>187</v>
      </c>
      <c r="E40" s="50">
        <v>199.98</v>
      </c>
      <c r="F40" s="151">
        <v>4904.0</v>
      </c>
      <c r="G40" s="50">
        <v>457.0</v>
      </c>
      <c r="H40" s="50">
        <v>7.0</v>
      </c>
      <c r="I40" s="50">
        <v>3.0</v>
      </c>
      <c r="J40" s="50">
        <v>3.0</v>
      </c>
      <c r="K40" s="243">
        <f t="shared" si="14"/>
        <v>470</v>
      </c>
      <c r="L40" s="223"/>
    </row>
    <row r="41">
      <c r="A41" s="177"/>
      <c r="B41" s="186" t="s">
        <v>146</v>
      </c>
      <c r="C41" s="196">
        <v>46255.0</v>
      </c>
      <c r="D41" s="50" t="s">
        <v>185</v>
      </c>
      <c r="E41" s="50">
        <v>200.0</v>
      </c>
      <c r="F41" s="151">
        <v>5638.0</v>
      </c>
      <c r="G41" s="50">
        <v>101.0</v>
      </c>
      <c r="H41" s="50">
        <v>2.0</v>
      </c>
      <c r="I41" s="50">
        <v>6.0</v>
      </c>
      <c r="J41" s="245">
        <v>77.0</v>
      </c>
      <c r="K41" s="54">
        <f t="shared" si="14"/>
        <v>186</v>
      </c>
      <c r="L41" s="223"/>
    </row>
    <row r="42">
      <c r="A42" s="177"/>
      <c r="B42" s="186" t="s">
        <v>146</v>
      </c>
      <c r="C42" s="196">
        <v>46259.0</v>
      </c>
      <c r="D42" s="50" t="s">
        <v>185</v>
      </c>
      <c r="E42" s="50">
        <v>200.0</v>
      </c>
      <c r="F42" s="246">
        <v>5926.0</v>
      </c>
      <c r="G42" s="50">
        <v>92.0</v>
      </c>
      <c r="H42" s="50">
        <v>2.0</v>
      </c>
      <c r="I42" s="50">
        <v>3.0</v>
      </c>
      <c r="J42" s="50">
        <v>67.0</v>
      </c>
      <c r="K42" s="54">
        <f t="shared" si="14"/>
        <v>164</v>
      </c>
      <c r="L42" s="223"/>
    </row>
    <row r="43">
      <c r="A43" s="177"/>
      <c r="B43" s="186" t="s">
        <v>139</v>
      </c>
      <c r="C43" s="196">
        <v>46265.0</v>
      </c>
      <c r="D43" s="50" t="s">
        <v>185</v>
      </c>
      <c r="E43" s="50">
        <v>110.0</v>
      </c>
      <c r="F43" s="151">
        <v>4116.0</v>
      </c>
      <c r="G43" s="50">
        <v>33.0</v>
      </c>
      <c r="H43" s="50">
        <v>0.0</v>
      </c>
      <c r="I43" s="50">
        <v>0.0</v>
      </c>
      <c r="J43" s="50">
        <v>10.0</v>
      </c>
      <c r="K43" s="54">
        <f t="shared" si="14"/>
        <v>43</v>
      </c>
      <c r="L43" s="223"/>
    </row>
    <row r="44">
      <c r="A44" s="191"/>
      <c r="B44" s="202" t="s">
        <v>141</v>
      </c>
      <c r="C44" s="15"/>
      <c r="D44" s="17"/>
      <c r="E44" s="204">
        <f t="shared" ref="E44:J44" si="15">SUM(E37:E43)</f>
        <v>1129.98</v>
      </c>
      <c r="F44" s="204">
        <f t="shared" si="15"/>
        <v>30510</v>
      </c>
      <c r="G44" s="204">
        <f t="shared" si="15"/>
        <v>1146</v>
      </c>
      <c r="H44" s="204">
        <f t="shared" si="15"/>
        <v>15</v>
      </c>
      <c r="I44" s="204">
        <f t="shared" si="15"/>
        <v>25</v>
      </c>
      <c r="J44" s="204">
        <f t="shared" si="15"/>
        <v>258</v>
      </c>
      <c r="K44" s="204">
        <f>SUM(K37:K42)</f>
        <v>1401</v>
      </c>
      <c r="L44" s="238">
        <f>E44/K44</f>
        <v>0.8065524625</v>
      </c>
    </row>
  </sheetData>
  <mergeCells count="25">
    <mergeCell ref="G5:G6"/>
    <mergeCell ref="H5:H6"/>
    <mergeCell ref="I5:I6"/>
    <mergeCell ref="J5:J6"/>
    <mergeCell ref="K5:K6"/>
    <mergeCell ref="A4:A8"/>
    <mergeCell ref="A9:A12"/>
    <mergeCell ref="A13:A15"/>
    <mergeCell ref="A16:A19"/>
    <mergeCell ref="A20:A26"/>
    <mergeCell ref="A27:A36"/>
    <mergeCell ref="A37:A44"/>
    <mergeCell ref="B12:D12"/>
    <mergeCell ref="B15:D15"/>
    <mergeCell ref="B19:D19"/>
    <mergeCell ref="B26:D26"/>
    <mergeCell ref="B36:D36"/>
    <mergeCell ref="B44:D44"/>
    <mergeCell ref="A2:A3"/>
    <mergeCell ref="B3:D3"/>
    <mergeCell ref="C5:C6"/>
    <mergeCell ref="D5:D6"/>
    <mergeCell ref="E5:E6"/>
    <mergeCell ref="F5:F6"/>
    <mergeCell ref="B8:D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1" max="1" width="6.63"/>
    <col customWidth="1" min="2" max="2" width="34.25"/>
    <col customWidth="1" min="3" max="12" width="10.75"/>
    <col customWidth="1" min="13" max="13" width="11.25"/>
    <col customWidth="1" min="14" max="14" width="7.25"/>
    <col customWidth="1" min="16" max="16" width="7.63"/>
    <col customWidth="1" min="17" max="17" width="7.25"/>
  </cols>
  <sheetData>
    <row r="1" ht="41.25" customHeight="1">
      <c r="A1" s="172"/>
      <c r="B1" s="172" t="s">
        <v>4</v>
      </c>
      <c r="C1" s="173" t="s">
        <v>169</v>
      </c>
      <c r="D1" s="173" t="s">
        <v>170</v>
      </c>
      <c r="E1" s="173" t="s">
        <v>171</v>
      </c>
      <c r="F1" s="172" t="s">
        <v>5</v>
      </c>
      <c r="G1" s="173" t="s">
        <v>172</v>
      </c>
      <c r="H1" s="172" t="s">
        <v>6</v>
      </c>
      <c r="I1" s="173" t="s">
        <v>7</v>
      </c>
      <c r="J1" s="173" t="s">
        <v>9</v>
      </c>
      <c r="K1" s="172" t="s">
        <v>173</v>
      </c>
      <c r="L1" s="173" t="s">
        <v>174</v>
      </c>
      <c r="M1" s="174"/>
      <c r="N1" s="174"/>
      <c r="O1" s="174"/>
    </row>
    <row r="2" ht="30.75" customHeight="1">
      <c r="A2" s="175" t="s">
        <v>96</v>
      </c>
      <c r="B2" s="12" t="s">
        <v>82</v>
      </c>
      <c r="C2" s="176">
        <v>46153.0</v>
      </c>
      <c r="D2" s="9" t="s">
        <v>175</v>
      </c>
      <c r="E2" s="9" t="s">
        <v>176</v>
      </c>
      <c r="F2" s="139">
        <v>1748.0</v>
      </c>
      <c r="G2" s="9">
        <v>3.0</v>
      </c>
      <c r="H2" s="9">
        <v>1.0</v>
      </c>
      <c r="I2" s="9">
        <v>0.0</v>
      </c>
      <c r="J2" s="9">
        <v>1.0</v>
      </c>
      <c r="K2" s="9">
        <v>1.0</v>
      </c>
      <c r="L2" s="94">
        <f t="shared" ref="L2:L4" si="1">SUM(G2:K2)</f>
        <v>6</v>
      </c>
    </row>
    <row r="3" ht="30.75" customHeight="1">
      <c r="A3" s="177"/>
      <c r="B3" s="12" t="s">
        <v>158</v>
      </c>
      <c r="C3" s="176">
        <v>46160.0</v>
      </c>
      <c r="D3" s="9" t="s">
        <v>175</v>
      </c>
      <c r="E3" s="9" t="s">
        <v>176</v>
      </c>
      <c r="F3" s="139">
        <v>1474.0</v>
      </c>
      <c r="G3" s="9">
        <v>1.0</v>
      </c>
      <c r="H3" s="9">
        <v>0.0</v>
      </c>
      <c r="I3" s="9">
        <v>0.0</v>
      </c>
      <c r="J3" s="9">
        <v>0.0</v>
      </c>
      <c r="K3" s="9">
        <v>0.0</v>
      </c>
      <c r="L3" s="94">
        <f t="shared" si="1"/>
        <v>1</v>
      </c>
    </row>
    <row r="4" ht="30.75" customHeight="1">
      <c r="A4" s="177"/>
      <c r="B4" s="12" t="s">
        <v>82</v>
      </c>
      <c r="C4" s="176">
        <v>46170.0</v>
      </c>
      <c r="D4" s="9" t="s">
        <v>175</v>
      </c>
      <c r="E4" s="9" t="s">
        <v>176</v>
      </c>
      <c r="F4" s="139">
        <v>4945.0</v>
      </c>
      <c r="G4" s="9">
        <v>3.0</v>
      </c>
      <c r="H4" s="9">
        <v>0.0</v>
      </c>
      <c r="I4" s="9">
        <v>0.0</v>
      </c>
      <c r="J4" s="9">
        <v>0.0</v>
      </c>
      <c r="K4" s="9">
        <v>0.0</v>
      </c>
      <c r="L4" s="94">
        <f t="shared" si="1"/>
        <v>3</v>
      </c>
    </row>
    <row r="5">
      <c r="A5" s="178" t="s">
        <v>177</v>
      </c>
      <c r="B5" s="179"/>
      <c r="C5" s="179"/>
      <c r="D5" s="180"/>
      <c r="E5" s="181" t="s">
        <v>178</v>
      </c>
      <c r="F5" s="181">
        <f t="shared" ref="F5:L5" si="2">SUM(F2:F4)</f>
        <v>8167</v>
      </c>
      <c r="G5" s="182">
        <f t="shared" si="2"/>
        <v>7</v>
      </c>
      <c r="H5" s="182">
        <f t="shared" si="2"/>
        <v>1</v>
      </c>
      <c r="I5" s="182">
        <f t="shared" si="2"/>
        <v>0</v>
      </c>
      <c r="J5" s="182">
        <f t="shared" si="2"/>
        <v>1</v>
      </c>
      <c r="K5" s="182">
        <f t="shared" si="2"/>
        <v>1</v>
      </c>
      <c r="L5" s="182">
        <f t="shared" si="2"/>
        <v>10</v>
      </c>
    </row>
    <row r="6">
      <c r="A6" s="184" t="s">
        <v>98</v>
      </c>
      <c r="B6" s="186" t="s">
        <v>159</v>
      </c>
      <c r="C6" s="187">
        <v>46174.0</v>
      </c>
      <c r="D6" s="50" t="s">
        <v>175</v>
      </c>
      <c r="E6" s="188" t="s">
        <v>176</v>
      </c>
      <c r="F6" s="151">
        <v>3821.0</v>
      </c>
      <c r="G6" s="50">
        <v>2.0</v>
      </c>
      <c r="H6" s="50">
        <v>2.0</v>
      </c>
      <c r="I6" s="50">
        <v>0.0</v>
      </c>
      <c r="J6" s="50">
        <v>0.0</v>
      </c>
      <c r="K6" s="50">
        <v>0.0</v>
      </c>
      <c r="L6" s="54">
        <f t="shared" ref="L6:L11" si="3">SUM(G6:K6)</f>
        <v>4</v>
      </c>
    </row>
    <row r="7">
      <c r="A7" s="177"/>
      <c r="B7" s="186" t="s">
        <v>107</v>
      </c>
      <c r="C7" s="187">
        <v>46174.0</v>
      </c>
      <c r="D7" s="50" t="s">
        <v>175</v>
      </c>
      <c r="E7" s="188" t="s">
        <v>176</v>
      </c>
      <c r="F7" s="151">
        <v>1585.0</v>
      </c>
      <c r="G7" s="50">
        <v>0.0</v>
      </c>
      <c r="H7" s="50">
        <v>0.0</v>
      </c>
      <c r="I7" s="50">
        <v>0.0</v>
      </c>
      <c r="J7" s="50">
        <v>0.0</v>
      </c>
      <c r="K7" s="50">
        <v>0.0</v>
      </c>
      <c r="L7" s="54">
        <f t="shared" si="3"/>
        <v>0</v>
      </c>
    </row>
    <row r="8">
      <c r="A8" s="177"/>
      <c r="B8" s="190" t="s">
        <v>122</v>
      </c>
      <c r="C8" s="187">
        <v>46182.0</v>
      </c>
      <c r="D8" s="50" t="s">
        <v>175</v>
      </c>
      <c r="E8" s="188" t="s">
        <v>176</v>
      </c>
      <c r="F8" s="151">
        <v>1939.0</v>
      </c>
      <c r="G8" s="50">
        <v>5.0</v>
      </c>
      <c r="H8" s="50">
        <v>0.0</v>
      </c>
      <c r="I8" s="50">
        <v>0.0</v>
      </c>
      <c r="J8" s="50">
        <v>0.0</v>
      </c>
      <c r="K8" s="50">
        <v>1.0</v>
      </c>
      <c r="L8" s="54">
        <f t="shared" si="3"/>
        <v>6</v>
      </c>
    </row>
    <row r="9">
      <c r="A9" s="177"/>
      <c r="B9" s="186" t="s">
        <v>112</v>
      </c>
      <c r="C9" s="187">
        <v>46188.0</v>
      </c>
      <c r="D9" s="50" t="s">
        <v>175</v>
      </c>
      <c r="E9" s="188" t="s">
        <v>176</v>
      </c>
      <c r="F9" s="50">
        <v>2226.0</v>
      </c>
      <c r="G9" s="50">
        <v>3.0</v>
      </c>
      <c r="H9" s="50">
        <v>0.0</v>
      </c>
      <c r="I9" s="50">
        <v>0.0</v>
      </c>
      <c r="J9" s="50">
        <v>0.0</v>
      </c>
      <c r="K9" s="50">
        <v>1.0</v>
      </c>
      <c r="L9" s="54">
        <f t="shared" si="3"/>
        <v>4</v>
      </c>
    </row>
    <row r="10">
      <c r="A10" s="177"/>
      <c r="B10" s="186" t="s">
        <v>126</v>
      </c>
      <c r="C10" s="187">
        <v>46196.0</v>
      </c>
      <c r="D10" s="50" t="s">
        <v>175</v>
      </c>
      <c r="E10" s="188" t="s">
        <v>176</v>
      </c>
      <c r="F10" s="50">
        <v>1406.0</v>
      </c>
      <c r="G10" s="50">
        <v>4.0</v>
      </c>
      <c r="H10" s="50">
        <v>0.0</v>
      </c>
      <c r="I10" s="50">
        <v>0.0</v>
      </c>
      <c r="J10" s="50">
        <v>0.0</v>
      </c>
      <c r="K10" s="50">
        <v>0.0</v>
      </c>
      <c r="L10" s="54">
        <f t="shared" si="3"/>
        <v>4</v>
      </c>
    </row>
    <row r="11">
      <c r="A11" s="191"/>
      <c r="B11" s="186" t="s">
        <v>128</v>
      </c>
      <c r="C11" s="187">
        <v>46201.0</v>
      </c>
      <c r="D11" s="50" t="s">
        <v>175</v>
      </c>
      <c r="E11" s="188" t="s">
        <v>176</v>
      </c>
      <c r="F11" s="50">
        <v>3814.0</v>
      </c>
      <c r="G11" s="50">
        <v>2.0</v>
      </c>
      <c r="H11" s="50">
        <v>1.0</v>
      </c>
      <c r="I11" s="50">
        <v>0.0</v>
      </c>
      <c r="J11" s="50">
        <v>1.0</v>
      </c>
      <c r="K11" s="50">
        <v>0.0</v>
      </c>
      <c r="L11" s="54">
        <f t="shared" si="3"/>
        <v>4</v>
      </c>
    </row>
    <row r="12">
      <c r="A12" s="193" t="s">
        <v>177</v>
      </c>
      <c r="B12" s="15"/>
      <c r="C12" s="15"/>
      <c r="D12" s="17"/>
      <c r="E12" s="194" t="s">
        <v>181</v>
      </c>
      <c r="F12" s="181">
        <f t="shared" ref="F12:L12" si="4">SUM(F6:F11)</f>
        <v>14791</v>
      </c>
      <c r="G12" s="182">
        <f t="shared" si="4"/>
        <v>16</v>
      </c>
      <c r="H12" s="182">
        <f t="shared" si="4"/>
        <v>3</v>
      </c>
      <c r="I12" s="182">
        <f t="shared" si="4"/>
        <v>0</v>
      </c>
      <c r="J12" s="182">
        <f t="shared" si="4"/>
        <v>1</v>
      </c>
      <c r="K12" s="182">
        <f t="shared" si="4"/>
        <v>2</v>
      </c>
      <c r="L12" s="182">
        <f t="shared" si="4"/>
        <v>22</v>
      </c>
    </row>
    <row r="13">
      <c r="A13" s="184" t="s">
        <v>99</v>
      </c>
      <c r="B13" s="186" t="s">
        <v>161</v>
      </c>
      <c r="C13" s="196">
        <v>46213.0</v>
      </c>
      <c r="D13" s="50" t="s">
        <v>175</v>
      </c>
      <c r="E13" s="50" t="s">
        <v>176</v>
      </c>
      <c r="F13" s="50">
        <v>2119.0</v>
      </c>
      <c r="G13" s="50">
        <v>4.0</v>
      </c>
      <c r="H13" s="50">
        <v>1.0</v>
      </c>
      <c r="I13" s="50">
        <v>0.0</v>
      </c>
      <c r="J13" s="50">
        <v>0.0</v>
      </c>
      <c r="K13" s="50">
        <v>1.0</v>
      </c>
      <c r="L13" s="54">
        <f t="shared" ref="L13:L22" si="5">SUM(G13:K13)</f>
        <v>6</v>
      </c>
    </row>
    <row r="14">
      <c r="A14" s="177"/>
      <c r="B14" s="186" t="s">
        <v>135</v>
      </c>
      <c r="C14" s="196">
        <v>46213.0</v>
      </c>
      <c r="D14" s="50" t="s">
        <v>175</v>
      </c>
      <c r="E14" s="50" t="s">
        <v>176</v>
      </c>
      <c r="F14" s="50">
        <v>2561.0</v>
      </c>
      <c r="G14" s="50">
        <v>2.0</v>
      </c>
      <c r="H14" s="50">
        <v>0.0</v>
      </c>
      <c r="I14" s="50">
        <v>0.0</v>
      </c>
      <c r="J14" s="50">
        <v>0.0</v>
      </c>
      <c r="K14" s="50">
        <v>0.0</v>
      </c>
      <c r="L14" s="54">
        <f t="shared" si="5"/>
        <v>2</v>
      </c>
    </row>
    <row r="15">
      <c r="A15" s="177"/>
      <c r="B15" s="186" t="s">
        <v>137</v>
      </c>
      <c r="C15" s="196">
        <v>46213.0</v>
      </c>
      <c r="D15" s="50" t="s">
        <v>175</v>
      </c>
      <c r="E15" s="50" t="s">
        <v>176</v>
      </c>
      <c r="F15" s="50">
        <v>1511.0</v>
      </c>
      <c r="G15" s="50">
        <v>3.0</v>
      </c>
      <c r="H15" s="50">
        <v>0.0</v>
      </c>
      <c r="I15" s="50">
        <v>0.0</v>
      </c>
      <c r="J15" s="50">
        <v>0.0</v>
      </c>
      <c r="K15" s="50">
        <v>0.0</v>
      </c>
      <c r="L15" s="54">
        <f t="shared" si="5"/>
        <v>3</v>
      </c>
    </row>
    <row r="16">
      <c r="A16" s="177"/>
      <c r="B16" s="186" t="s">
        <v>137</v>
      </c>
      <c r="C16" s="196">
        <v>46216.0</v>
      </c>
      <c r="D16" s="50" t="s">
        <v>175</v>
      </c>
      <c r="E16" s="50" t="s">
        <v>176</v>
      </c>
      <c r="F16" s="50">
        <v>1297.0</v>
      </c>
      <c r="G16" s="50">
        <v>1.0</v>
      </c>
      <c r="H16" s="50">
        <v>0.0</v>
      </c>
      <c r="I16" s="50">
        <v>0.0</v>
      </c>
      <c r="J16" s="50">
        <v>1.0</v>
      </c>
      <c r="K16" s="50">
        <v>1.0</v>
      </c>
      <c r="L16" s="54">
        <f t="shared" si="5"/>
        <v>3</v>
      </c>
    </row>
    <row r="17">
      <c r="A17" s="191"/>
      <c r="B17" s="186" t="s">
        <v>138</v>
      </c>
      <c r="C17" s="196">
        <v>46224.0</v>
      </c>
      <c r="D17" s="50" t="s">
        <v>175</v>
      </c>
      <c r="E17" s="50" t="s">
        <v>176</v>
      </c>
      <c r="F17" s="50">
        <v>2684.0</v>
      </c>
      <c r="G17" s="50">
        <v>3.0</v>
      </c>
      <c r="H17" s="50">
        <v>0.0</v>
      </c>
      <c r="I17" s="50">
        <v>0.0</v>
      </c>
      <c r="J17" s="50">
        <v>0.0</v>
      </c>
      <c r="K17" s="50">
        <v>0.0</v>
      </c>
      <c r="L17" s="54">
        <f t="shared" si="5"/>
        <v>3</v>
      </c>
    </row>
    <row r="18">
      <c r="A18" s="202" t="s">
        <v>177</v>
      </c>
      <c r="B18" s="15"/>
      <c r="C18" s="15"/>
      <c r="D18" s="17"/>
      <c r="E18" s="203" t="s">
        <v>182</v>
      </c>
      <c r="F18" s="204">
        <f t="shared" ref="F18:K18" si="6">SUM(F13:F17)</f>
        <v>10172</v>
      </c>
      <c r="G18" s="204">
        <f t="shared" si="6"/>
        <v>13</v>
      </c>
      <c r="H18" s="204">
        <f t="shared" si="6"/>
        <v>1</v>
      </c>
      <c r="I18" s="204">
        <f t="shared" si="6"/>
        <v>0</v>
      </c>
      <c r="J18" s="204">
        <f t="shared" si="6"/>
        <v>1</v>
      </c>
      <c r="K18" s="204">
        <f t="shared" si="6"/>
        <v>2</v>
      </c>
      <c r="L18" s="204">
        <f t="shared" si="5"/>
        <v>17</v>
      </c>
    </row>
    <row r="19">
      <c r="A19" s="184" t="s">
        <v>100</v>
      </c>
      <c r="B19" s="186" t="s">
        <v>143</v>
      </c>
      <c r="C19" s="196">
        <v>46246.0</v>
      </c>
      <c r="D19" s="186" t="s">
        <v>175</v>
      </c>
      <c r="E19" s="50" t="s">
        <v>176</v>
      </c>
      <c r="F19" s="50">
        <v>4033.0</v>
      </c>
      <c r="G19" s="50">
        <v>1.0</v>
      </c>
      <c r="H19" s="50">
        <v>1.0</v>
      </c>
      <c r="I19" s="50">
        <v>0.0</v>
      </c>
      <c r="J19" s="50">
        <v>1.0</v>
      </c>
      <c r="K19" s="50">
        <v>0.0</v>
      </c>
      <c r="L19" s="54">
        <f t="shared" si="5"/>
        <v>3</v>
      </c>
    </row>
    <row r="20">
      <c r="A20" s="177"/>
      <c r="B20" s="186" t="s">
        <v>145</v>
      </c>
      <c r="C20" s="196">
        <v>46247.0</v>
      </c>
      <c r="D20" s="186" t="s">
        <v>175</v>
      </c>
      <c r="E20" s="50" t="s">
        <v>176</v>
      </c>
      <c r="F20" s="50">
        <v>1456.0</v>
      </c>
      <c r="G20" s="50">
        <v>0.0</v>
      </c>
      <c r="H20" s="50">
        <v>0.0</v>
      </c>
      <c r="I20" s="50">
        <v>0.0</v>
      </c>
      <c r="J20" s="50">
        <v>0.0</v>
      </c>
      <c r="K20" s="50">
        <v>0.0</v>
      </c>
      <c r="L20" s="54">
        <f t="shared" si="5"/>
        <v>0</v>
      </c>
    </row>
    <row r="21">
      <c r="A21" s="177"/>
      <c r="B21" s="186" t="s">
        <v>145</v>
      </c>
      <c r="C21" s="196">
        <v>46247.0</v>
      </c>
      <c r="D21" s="186" t="s">
        <v>175</v>
      </c>
      <c r="E21" s="50" t="s">
        <v>176</v>
      </c>
      <c r="F21" s="50">
        <v>1948.0</v>
      </c>
      <c r="G21" s="50">
        <v>2.0</v>
      </c>
      <c r="H21" s="50">
        <v>0.0</v>
      </c>
      <c r="I21" s="50">
        <v>0.0</v>
      </c>
      <c r="J21" s="50">
        <v>0.0</v>
      </c>
      <c r="K21" s="50">
        <v>0.0</v>
      </c>
      <c r="L21" s="54">
        <f t="shared" si="5"/>
        <v>2</v>
      </c>
    </row>
    <row r="22">
      <c r="A22" s="177"/>
      <c r="B22" s="186" t="s">
        <v>162</v>
      </c>
      <c r="C22" s="196">
        <v>46265.0</v>
      </c>
      <c r="D22" s="186" t="s">
        <v>175</v>
      </c>
      <c r="E22" s="50" t="s">
        <v>183</v>
      </c>
      <c r="F22" s="50">
        <v>1813.0</v>
      </c>
      <c r="G22" s="50">
        <v>2.0</v>
      </c>
      <c r="H22" s="50">
        <v>8.0</v>
      </c>
      <c r="I22" s="50">
        <v>0.0</v>
      </c>
      <c r="J22" s="50">
        <v>0.0</v>
      </c>
      <c r="K22" s="50">
        <v>0.0</v>
      </c>
      <c r="L22" s="54">
        <f t="shared" si="5"/>
        <v>10</v>
      </c>
    </row>
    <row r="23">
      <c r="A23" s="191"/>
      <c r="B23" s="186" t="s">
        <v>162</v>
      </c>
      <c r="C23" s="196">
        <v>46265.0</v>
      </c>
      <c r="D23" s="186" t="s">
        <v>175</v>
      </c>
      <c r="E23" s="50" t="s">
        <v>183</v>
      </c>
      <c r="F23" s="50">
        <v>234.0</v>
      </c>
      <c r="G23" s="50">
        <v>10.0</v>
      </c>
      <c r="H23" s="50">
        <v>0.0</v>
      </c>
      <c r="I23" s="50">
        <v>0.0</v>
      </c>
      <c r="J23" s="50">
        <v>0.0</v>
      </c>
      <c r="K23" s="50">
        <v>0.0</v>
      </c>
      <c r="L23" s="50">
        <v>10.0</v>
      </c>
    </row>
    <row r="24">
      <c r="A24" s="202" t="s">
        <v>177</v>
      </c>
      <c r="B24" s="15"/>
      <c r="C24" s="15"/>
      <c r="D24" s="17"/>
      <c r="E24" s="203" t="s">
        <v>184</v>
      </c>
      <c r="F24" s="204">
        <f t="shared" ref="F24:L24" si="7">SUM(F19:F23)</f>
        <v>9484</v>
      </c>
      <c r="G24" s="205">
        <f t="shared" si="7"/>
        <v>15</v>
      </c>
      <c r="H24" s="205">
        <f t="shared" si="7"/>
        <v>9</v>
      </c>
      <c r="I24" s="205">
        <f t="shared" si="7"/>
        <v>0</v>
      </c>
      <c r="J24" s="205">
        <f t="shared" si="7"/>
        <v>1</v>
      </c>
      <c r="K24" s="205">
        <f t="shared" si="7"/>
        <v>0</v>
      </c>
      <c r="L24" s="205">
        <f t="shared" si="7"/>
        <v>25</v>
      </c>
    </row>
  </sheetData>
  <mergeCells count="8">
    <mergeCell ref="A2:A4"/>
    <mergeCell ref="A5:D5"/>
    <mergeCell ref="A6:A11"/>
    <mergeCell ref="A12:D12"/>
    <mergeCell ref="A13:A17"/>
    <mergeCell ref="A18:D18"/>
    <mergeCell ref="A19:A23"/>
    <mergeCell ref="A24:D2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 outlineLevelCol="1" outlineLevelRow="1"/>
  <cols>
    <col customWidth="1" min="1" max="1" width="36.38"/>
    <col customWidth="1" min="2" max="2" width="14.13"/>
    <col customWidth="1" min="3" max="3" width="17.25"/>
    <col customWidth="1" min="4" max="6" width="10.75"/>
    <col customWidth="1" min="7" max="11" width="10.75" outlineLevel="1"/>
    <col customWidth="1" min="12" max="12" width="13.63"/>
    <col customWidth="1" min="13" max="16" width="10.75"/>
    <col customWidth="1" min="19" max="19" width="14.75"/>
  </cols>
  <sheetData>
    <row r="1" ht="41.25" customHeight="1">
      <c r="A1" s="225" t="s">
        <v>189</v>
      </c>
      <c r="B1" s="225" t="s">
        <v>169</v>
      </c>
      <c r="C1" s="225" t="s">
        <v>170</v>
      </c>
      <c r="D1" s="226" t="s">
        <v>171</v>
      </c>
      <c r="E1" s="225" t="s">
        <v>175</v>
      </c>
      <c r="F1" s="225" t="s">
        <v>190</v>
      </c>
      <c r="G1" s="225" t="s">
        <v>172</v>
      </c>
      <c r="H1" s="225" t="s">
        <v>7</v>
      </c>
      <c r="I1" s="225" t="s">
        <v>14</v>
      </c>
      <c r="J1" s="225" t="s">
        <v>173</v>
      </c>
      <c r="K1" s="225" t="s">
        <v>9</v>
      </c>
      <c r="L1" s="227" t="s">
        <v>191</v>
      </c>
      <c r="M1" s="227" t="s">
        <v>192</v>
      </c>
      <c r="N1" s="227" t="s">
        <v>193</v>
      </c>
      <c r="O1" s="228" t="s">
        <v>194</v>
      </c>
      <c r="P1" s="228" t="s">
        <v>195</v>
      </c>
      <c r="S1" s="229" t="s">
        <v>196</v>
      </c>
    </row>
    <row r="2" outlineLevel="1">
      <c r="A2" s="230" t="s">
        <v>197</v>
      </c>
      <c r="B2" s="231">
        <v>46027.0</v>
      </c>
      <c r="C2" s="232" t="s">
        <v>198</v>
      </c>
      <c r="D2" s="233">
        <v>292.73</v>
      </c>
      <c r="E2" s="139">
        <v>1580.0</v>
      </c>
      <c r="F2" s="139">
        <v>183.0</v>
      </c>
      <c r="G2" s="139">
        <v>150.0</v>
      </c>
      <c r="H2" s="139">
        <v>0.0</v>
      </c>
      <c r="I2" s="139">
        <v>11.0</v>
      </c>
      <c r="J2" s="139">
        <v>29.0</v>
      </c>
      <c r="K2" s="139">
        <v>2.0</v>
      </c>
      <c r="L2" s="23">
        <f t="shared" ref="L2:L5" si="1">SUM(G2:K2)</f>
        <v>192</v>
      </c>
      <c r="M2" s="24">
        <f t="shared" ref="M2:M29" si="2">F2/E2</f>
        <v>0.1158227848</v>
      </c>
      <c r="N2" s="236">
        <f t="shared" ref="N2:N29" si="3">D2/F2</f>
        <v>1.599617486</v>
      </c>
      <c r="O2" s="236">
        <f t="shared" ref="O2:O29" si="4">D2/L2</f>
        <v>1.524635417</v>
      </c>
      <c r="P2" s="237">
        <f t="shared" ref="P2:P29" si="5">D2/E2*1000</f>
        <v>185.2721519</v>
      </c>
      <c r="S2" s="239" t="s">
        <v>201</v>
      </c>
    </row>
    <row r="3" outlineLevel="1">
      <c r="A3" s="230" t="s">
        <v>19</v>
      </c>
      <c r="B3" s="231">
        <v>46030.0</v>
      </c>
      <c r="C3" s="232" t="s">
        <v>198</v>
      </c>
      <c r="D3" s="233">
        <v>376.86</v>
      </c>
      <c r="E3" s="139">
        <v>18535.0</v>
      </c>
      <c r="F3" s="139">
        <v>2391.0</v>
      </c>
      <c r="G3" s="139">
        <v>69.0</v>
      </c>
      <c r="H3" s="139">
        <v>4.0</v>
      </c>
      <c r="I3" s="139">
        <v>26.0</v>
      </c>
      <c r="J3" s="139">
        <v>19.0</v>
      </c>
      <c r="K3" s="139">
        <v>15.0</v>
      </c>
      <c r="L3" s="23">
        <f t="shared" si="1"/>
        <v>133</v>
      </c>
      <c r="M3" s="24">
        <f t="shared" si="2"/>
        <v>0.1289991907</v>
      </c>
      <c r="N3" s="236">
        <f t="shared" si="3"/>
        <v>0.1576160602</v>
      </c>
      <c r="O3" s="236">
        <f t="shared" si="4"/>
        <v>2.833533835</v>
      </c>
      <c r="P3" s="237">
        <f t="shared" si="5"/>
        <v>20.33234421</v>
      </c>
    </row>
    <row r="4" outlineLevel="1">
      <c r="A4" s="230" t="s">
        <v>34</v>
      </c>
      <c r="B4" s="231">
        <v>46043.0</v>
      </c>
      <c r="C4" s="232" t="s">
        <v>198</v>
      </c>
      <c r="D4" s="233">
        <v>453.34</v>
      </c>
      <c r="E4" s="139">
        <v>21519.0</v>
      </c>
      <c r="F4" s="139">
        <v>3166.0</v>
      </c>
      <c r="G4" s="139">
        <v>77.0</v>
      </c>
      <c r="H4" s="139">
        <v>0.0</v>
      </c>
      <c r="I4" s="139">
        <v>51.0</v>
      </c>
      <c r="J4" s="139">
        <v>11.0</v>
      </c>
      <c r="K4" s="139">
        <v>23.0</v>
      </c>
      <c r="L4" s="23">
        <f t="shared" si="1"/>
        <v>162</v>
      </c>
      <c r="M4" s="24">
        <f t="shared" si="2"/>
        <v>0.1471257958</v>
      </c>
      <c r="N4" s="236">
        <f t="shared" si="3"/>
        <v>0.1431901453</v>
      </c>
      <c r="O4" s="236">
        <f t="shared" si="4"/>
        <v>2.798395062</v>
      </c>
      <c r="P4" s="237">
        <f t="shared" si="5"/>
        <v>21.06696408</v>
      </c>
    </row>
    <row r="5" outlineLevel="1">
      <c r="A5" s="230" t="s">
        <v>37</v>
      </c>
      <c r="B5" s="231">
        <v>46049.0</v>
      </c>
      <c r="C5" s="232" t="s">
        <v>198</v>
      </c>
      <c r="D5" s="233">
        <v>600.87</v>
      </c>
      <c r="E5" s="139">
        <v>3917.0</v>
      </c>
      <c r="F5" s="139">
        <v>407.0</v>
      </c>
      <c r="G5" s="139">
        <v>292.0</v>
      </c>
      <c r="H5" s="139">
        <v>1.0</v>
      </c>
      <c r="I5" s="139">
        <v>22.0</v>
      </c>
      <c r="J5" s="139">
        <v>52.0</v>
      </c>
      <c r="K5" s="139">
        <v>15.0</v>
      </c>
      <c r="L5" s="23">
        <f t="shared" si="1"/>
        <v>382</v>
      </c>
      <c r="M5" s="24">
        <f t="shared" si="2"/>
        <v>0.1039060505</v>
      </c>
      <c r="N5" s="236">
        <f t="shared" si="3"/>
        <v>1.476339066</v>
      </c>
      <c r="O5" s="236">
        <f t="shared" si="4"/>
        <v>1.572958115</v>
      </c>
      <c r="P5" s="237">
        <f t="shared" si="5"/>
        <v>153.4005617</v>
      </c>
    </row>
    <row r="6" ht="28.5" customHeight="1" outlineLevel="1">
      <c r="A6" s="244" t="s">
        <v>36</v>
      </c>
      <c r="B6" s="15"/>
      <c r="C6" s="17"/>
      <c r="D6" s="247">
        <f>SUM(D2:D5)</f>
        <v>1723.8</v>
      </c>
      <c r="E6" s="181">
        <f t="shared" ref="E6:L6" si="6">sum(E2:E5)</f>
        <v>45551</v>
      </c>
      <c r="F6" s="181">
        <f t="shared" si="6"/>
        <v>6147</v>
      </c>
      <c r="G6" s="181">
        <f t="shared" si="6"/>
        <v>588</v>
      </c>
      <c r="H6" s="181">
        <f t="shared" si="6"/>
        <v>5</v>
      </c>
      <c r="I6" s="181">
        <f t="shared" si="6"/>
        <v>110</v>
      </c>
      <c r="J6" s="181">
        <f t="shared" si="6"/>
        <v>111</v>
      </c>
      <c r="K6" s="181">
        <f t="shared" si="6"/>
        <v>55</v>
      </c>
      <c r="L6" s="181">
        <f t="shared" si="6"/>
        <v>869</v>
      </c>
      <c r="M6" s="248">
        <f t="shared" si="2"/>
        <v>0.1349476411</v>
      </c>
      <c r="N6" s="247">
        <f t="shared" si="3"/>
        <v>0.2804294778</v>
      </c>
      <c r="O6" s="249">
        <f t="shared" si="4"/>
        <v>1.983659379</v>
      </c>
      <c r="P6" s="250">
        <f t="shared" si="5"/>
        <v>37.84329652</v>
      </c>
    </row>
    <row r="7" outlineLevel="1">
      <c r="A7" s="198" t="s">
        <v>39</v>
      </c>
      <c r="B7" s="251">
        <v>46057.0</v>
      </c>
      <c r="C7" s="252" t="s">
        <v>198</v>
      </c>
      <c r="D7" s="253">
        <v>458.11</v>
      </c>
      <c r="E7" s="89">
        <v>4256.0</v>
      </c>
      <c r="F7" s="89">
        <v>336.0</v>
      </c>
      <c r="G7" s="89">
        <v>182.0</v>
      </c>
      <c r="H7" s="89">
        <v>0.0</v>
      </c>
      <c r="I7" s="89">
        <v>65.0</v>
      </c>
      <c r="J7" s="89">
        <v>22.0</v>
      </c>
      <c r="K7" s="89">
        <v>18.0</v>
      </c>
      <c r="L7" s="23">
        <f t="shared" ref="L7:L13" si="7">SUM(G7:K7)</f>
        <v>287</v>
      </c>
      <c r="M7" s="24">
        <f t="shared" si="2"/>
        <v>0.07894736842</v>
      </c>
      <c r="N7" s="236">
        <f t="shared" si="3"/>
        <v>1.363422619</v>
      </c>
      <c r="O7" s="236">
        <f t="shared" si="4"/>
        <v>1.596202091</v>
      </c>
      <c r="P7" s="237">
        <f t="shared" si="5"/>
        <v>107.6386278</v>
      </c>
    </row>
    <row r="8" outlineLevel="1">
      <c r="A8" s="198" t="s">
        <v>48</v>
      </c>
      <c r="B8" s="251">
        <v>46062.0</v>
      </c>
      <c r="C8" s="252" t="s">
        <v>198</v>
      </c>
      <c r="D8" s="253">
        <v>251.56</v>
      </c>
      <c r="E8" s="89">
        <v>1147.0</v>
      </c>
      <c r="F8" s="89">
        <v>96.0</v>
      </c>
      <c r="G8" s="89">
        <v>77.0</v>
      </c>
      <c r="H8" s="89">
        <v>1.0</v>
      </c>
      <c r="I8" s="89">
        <v>16.0</v>
      </c>
      <c r="J8" s="89">
        <v>14.0</v>
      </c>
      <c r="K8" s="89">
        <v>2.0</v>
      </c>
      <c r="L8" s="23">
        <f t="shared" si="7"/>
        <v>110</v>
      </c>
      <c r="M8" s="24">
        <f t="shared" si="2"/>
        <v>0.08369659983</v>
      </c>
      <c r="N8" s="236">
        <f t="shared" si="3"/>
        <v>2.620416667</v>
      </c>
      <c r="O8" s="236">
        <f t="shared" si="4"/>
        <v>2.286909091</v>
      </c>
      <c r="P8" s="237">
        <f t="shared" si="5"/>
        <v>219.3199651</v>
      </c>
    </row>
    <row r="9" outlineLevel="1">
      <c r="A9" s="198" t="s">
        <v>45</v>
      </c>
      <c r="B9" s="251">
        <v>46062.0</v>
      </c>
      <c r="C9" s="252" t="s">
        <v>198</v>
      </c>
      <c r="D9" s="253">
        <v>360.62</v>
      </c>
      <c r="E9" s="89">
        <v>2170.0</v>
      </c>
      <c r="F9" s="89">
        <v>229.0</v>
      </c>
      <c r="G9" s="89">
        <v>102.0</v>
      </c>
      <c r="H9" s="89">
        <v>0.0</v>
      </c>
      <c r="I9" s="89">
        <v>29.0</v>
      </c>
      <c r="J9" s="89">
        <v>29.0</v>
      </c>
      <c r="K9" s="89">
        <v>4.0</v>
      </c>
      <c r="L9" s="23">
        <f t="shared" si="7"/>
        <v>164</v>
      </c>
      <c r="M9" s="24">
        <f t="shared" si="2"/>
        <v>0.1055299539</v>
      </c>
      <c r="N9" s="236">
        <f t="shared" si="3"/>
        <v>1.574759825</v>
      </c>
      <c r="O9" s="236">
        <f t="shared" si="4"/>
        <v>2.198902439</v>
      </c>
      <c r="P9" s="237">
        <f t="shared" si="5"/>
        <v>166.1843318</v>
      </c>
    </row>
    <row r="10" outlineLevel="1">
      <c r="A10" s="198" t="s">
        <v>42</v>
      </c>
      <c r="B10" s="251">
        <v>46065.0</v>
      </c>
      <c r="C10" s="252" t="s">
        <v>198</v>
      </c>
      <c r="D10" s="253">
        <v>431.4</v>
      </c>
      <c r="E10" s="89">
        <v>8214.0</v>
      </c>
      <c r="F10" s="89">
        <v>526.0</v>
      </c>
      <c r="G10" s="89">
        <v>52.0</v>
      </c>
      <c r="H10" s="89">
        <v>1.0</v>
      </c>
      <c r="I10" s="89">
        <v>19.0</v>
      </c>
      <c r="J10" s="89">
        <v>14.0</v>
      </c>
      <c r="K10" s="89">
        <v>15.0</v>
      </c>
      <c r="L10" s="23">
        <f t="shared" si="7"/>
        <v>101</v>
      </c>
      <c r="M10" s="24">
        <f t="shared" si="2"/>
        <v>0.06403700998</v>
      </c>
      <c r="N10" s="236">
        <f t="shared" si="3"/>
        <v>0.8201520913</v>
      </c>
      <c r="O10" s="236">
        <f t="shared" si="4"/>
        <v>4.271287129</v>
      </c>
      <c r="P10" s="237">
        <f t="shared" si="5"/>
        <v>52.52008766</v>
      </c>
    </row>
    <row r="11" outlineLevel="1">
      <c r="A11" s="198" t="s">
        <v>53</v>
      </c>
      <c r="B11" s="251">
        <v>46066.0</v>
      </c>
      <c r="C11" s="252" t="s">
        <v>198</v>
      </c>
      <c r="D11" s="253">
        <v>818.56</v>
      </c>
      <c r="E11" s="89">
        <v>3022.0</v>
      </c>
      <c r="F11" s="89">
        <v>351.0</v>
      </c>
      <c r="G11" s="89">
        <v>215.0</v>
      </c>
      <c r="H11" s="89">
        <v>1.0</v>
      </c>
      <c r="I11" s="89">
        <v>36.0</v>
      </c>
      <c r="J11" s="89">
        <v>40.0</v>
      </c>
      <c r="K11" s="89">
        <v>4.0</v>
      </c>
      <c r="L11" s="23">
        <f t="shared" si="7"/>
        <v>296</v>
      </c>
      <c r="M11" s="24">
        <f t="shared" si="2"/>
        <v>0.1161482462</v>
      </c>
      <c r="N11" s="236">
        <f t="shared" si="3"/>
        <v>2.332079772</v>
      </c>
      <c r="O11" s="236">
        <f t="shared" si="4"/>
        <v>2.765405405</v>
      </c>
      <c r="P11" s="237">
        <f t="shared" si="5"/>
        <v>270.8669755</v>
      </c>
    </row>
    <row r="12" outlineLevel="1">
      <c r="A12" s="198" t="s">
        <v>56</v>
      </c>
      <c r="B12" s="251">
        <v>46070.0</v>
      </c>
      <c r="C12" s="252" t="s">
        <v>198</v>
      </c>
      <c r="D12" s="253">
        <v>582.69</v>
      </c>
      <c r="E12" s="89">
        <v>2209.0</v>
      </c>
      <c r="F12" s="89">
        <v>197.0</v>
      </c>
      <c r="G12" s="89">
        <v>149.0</v>
      </c>
      <c r="H12" s="89">
        <v>0.0</v>
      </c>
      <c r="I12" s="89">
        <v>22.0</v>
      </c>
      <c r="J12" s="89">
        <v>29.0</v>
      </c>
      <c r="K12" s="89">
        <v>1.0</v>
      </c>
      <c r="L12" s="23">
        <f t="shared" si="7"/>
        <v>201</v>
      </c>
      <c r="M12" s="24">
        <f t="shared" si="2"/>
        <v>0.08918062472</v>
      </c>
      <c r="N12" s="236">
        <f t="shared" si="3"/>
        <v>2.957817259</v>
      </c>
      <c r="O12" s="236">
        <f t="shared" si="4"/>
        <v>2.898955224</v>
      </c>
      <c r="P12" s="237">
        <f t="shared" si="5"/>
        <v>263.7799909</v>
      </c>
    </row>
    <row r="13" outlineLevel="1">
      <c r="A13" s="198" t="s">
        <v>46</v>
      </c>
      <c r="B13" s="251">
        <v>46070.0</v>
      </c>
      <c r="C13" s="252" t="s">
        <v>198</v>
      </c>
      <c r="D13" s="236">
        <f>727.89+20.57</f>
        <v>748.46</v>
      </c>
      <c r="E13" s="23">
        <f>20202+976</f>
        <v>21178</v>
      </c>
      <c r="F13" s="23">
        <f>1733+88</f>
        <v>1821</v>
      </c>
      <c r="G13" s="89">
        <v>101.0</v>
      </c>
      <c r="H13" s="89">
        <v>1.0</v>
      </c>
      <c r="I13" s="89">
        <v>23.0</v>
      </c>
      <c r="J13" s="89">
        <v>71.0</v>
      </c>
      <c r="K13" s="89">
        <v>11.0</v>
      </c>
      <c r="L13" s="23">
        <f t="shared" si="7"/>
        <v>207</v>
      </c>
      <c r="M13" s="24">
        <f t="shared" si="2"/>
        <v>0.08598545661</v>
      </c>
      <c r="N13" s="236">
        <f t="shared" si="3"/>
        <v>0.4110159253</v>
      </c>
      <c r="O13" s="236">
        <f t="shared" si="4"/>
        <v>3.615748792</v>
      </c>
      <c r="P13" s="237">
        <f t="shared" si="5"/>
        <v>35.34139201</v>
      </c>
    </row>
    <row r="14" outlineLevel="1">
      <c r="A14" s="259" t="s">
        <v>54</v>
      </c>
      <c r="B14" s="15"/>
      <c r="C14" s="17"/>
      <c r="D14" s="260">
        <f>SUM(D7:D13)</f>
        <v>3651.4</v>
      </c>
      <c r="E14" s="261">
        <f t="shared" ref="E14:L14" si="8">sum(E7:E13)</f>
        <v>42196</v>
      </c>
      <c r="F14" s="261">
        <f t="shared" si="8"/>
        <v>3556</v>
      </c>
      <c r="G14" s="261">
        <f t="shared" si="8"/>
        <v>878</v>
      </c>
      <c r="H14" s="261">
        <f t="shared" si="8"/>
        <v>4</v>
      </c>
      <c r="I14" s="261">
        <f t="shared" si="8"/>
        <v>210</v>
      </c>
      <c r="J14" s="261">
        <f t="shared" si="8"/>
        <v>219</v>
      </c>
      <c r="K14" s="261">
        <f t="shared" si="8"/>
        <v>55</v>
      </c>
      <c r="L14" s="261">
        <f t="shared" si="8"/>
        <v>1366</v>
      </c>
      <c r="M14" s="262">
        <f t="shared" si="2"/>
        <v>0.08427339084</v>
      </c>
      <c r="N14" s="260">
        <f t="shared" si="3"/>
        <v>1.026827897</v>
      </c>
      <c r="O14" s="263">
        <f t="shared" si="4"/>
        <v>2.673060029</v>
      </c>
      <c r="P14" s="264">
        <f t="shared" si="5"/>
        <v>86.53426865</v>
      </c>
    </row>
    <row r="15" outlineLevel="1">
      <c r="A15" s="12" t="s">
        <v>58</v>
      </c>
      <c r="B15" s="251">
        <v>46087.0</v>
      </c>
      <c r="C15" s="252" t="s">
        <v>198</v>
      </c>
      <c r="D15" s="253">
        <v>604.95</v>
      </c>
      <c r="E15" s="89">
        <v>13364.0</v>
      </c>
      <c r="F15" s="89">
        <v>1025.0</v>
      </c>
      <c r="G15" s="89">
        <v>88.0</v>
      </c>
      <c r="H15" s="89">
        <v>1.0</v>
      </c>
      <c r="I15" s="89">
        <v>18.0</v>
      </c>
      <c r="J15" s="89">
        <v>16.0</v>
      </c>
      <c r="K15" s="89">
        <v>55.0</v>
      </c>
      <c r="L15" s="23">
        <f t="shared" ref="L15:L19" si="9">SUM(G15:K15)</f>
        <v>178</v>
      </c>
      <c r="M15" s="24">
        <f t="shared" si="2"/>
        <v>0.07669859324</v>
      </c>
      <c r="N15" s="236">
        <f t="shared" si="3"/>
        <v>0.590195122</v>
      </c>
      <c r="O15" s="236">
        <f t="shared" si="4"/>
        <v>3.398595506</v>
      </c>
      <c r="P15" s="237">
        <f t="shared" si="5"/>
        <v>45.26713559</v>
      </c>
    </row>
    <row r="16" outlineLevel="1">
      <c r="A16" s="198" t="s">
        <v>63</v>
      </c>
      <c r="B16" s="251">
        <v>46090.0</v>
      </c>
      <c r="C16" s="252" t="s">
        <v>198</v>
      </c>
      <c r="D16" s="253">
        <v>750.83</v>
      </c>
      <c r="E16" s="89">
        <v>5135.0</v>
      </c>
      <c r="F16" s="89">
        <v>475.0</v>
      </c>
      <c r="G16" s="89">
        <v>339.0</v>
      </c>
      <c r="H16" s="89">
        <v>0.0</v>
      </c>
      <c r="I16" s="89">
        <v>23.0</v>
      </c>
      <c r="J16" s="89">
        <v>39.0</v>
      </c>
      <c r="K16" s="89">
        <v>61.0</v>
      </c>
      <c r="L16" s="23">
        <f t="shared" si="9"/>
        <v>462</v>
      </c>
      <c r="M16" s="24">
        <f t="shared" si="2"/>
        <v>0.09250243427</v>
      </c>
      <c r="N16" s="236">
        <f t="shared" si="3"/>
        <v>1.580694737</v>
      </c>
      <c r="O16" s="236">
        <f t="shared" si="4"/>
        <v>1.62517316</v>
      </c>
      <c r="P16" s="237">
        <f t="shared" si="5"/>
        <v>146.218111</v>
      </c>
    </row>
    <row r="17" outlineLevel="1">
      <c r="A17" s="198" t="s">
        <v>65</v>
      </c>
      <c r="B17" s="251">
        <v>46095.0</v>
      </c>
      <c r="C17" s="252" t="s">
        <v>198</v>
      </c>
      <c r="D17" s="253">
        <v>451.36</v>
      </c>
      <c r="E17" s="89">
        <v>4840.0</v>
      </c>
      <c r="F17" s="89">
        <v>630.0</v>
      </c>
      <c r="G17" s="89">
        <v>466.0</v>
      </c>
      <c r="H17" s="89">
        <v>2.0</v>
      </c>
      <c r="I17" s="89">
        <v>146.0</v>
      </c>
      <c r="J17" s="89">
        <v>41.0</v>
      </c>
      <c r="K17" s="89">
        <v>41.0</v>
      </c>
      <c r="L17" s="23">
        <f t="shared" si="9"/>
        <v>696</v>
      </c>
      <c r="M17" s="24">
        <f t="shared" si="2"/>
        <v>0.1301652893</v>
      </c>
      <c r="N17" s="236">
        <f t="shared" si="3"/>
        <v>0.7164444444</v>
      </c>
      <c r="O17" s="236">
        <f t="shared" si="4"/>
        <v>0.6485057471</v>
      </c>
      <c r="P17" s="237">
        <f t="shared" si="5"/>
        <v>93.25619835</v>
      </c>
    </row>
    <row r="18" outlineLevel="1">
      <c r="A18" s="198" t="s">
        <v>67</v>
      </c>
      <c r="B18" s="251">
        <v>46101.0</v>
      </c>
      <c r="C18" s="252" t="s">
        <v>198</v>
      </c>
      <c r="D18" s="253">
        <v>450.69</v>
      </c>
      <c r="E18" s="89">
        <v>4286.0</v>
      </c>
      <c r="F18" s="89">
        <v>579.0</v>
      </c>
      <c r="G18" s="89">
        <v>423.0</v>
      </c>
      <c r="H18" s="89">
        <v>3.0</v>
      </c>
      <c r="I18" s="89">
        <v>16.0</v>
      </c>
      <c r="J18" s="89">
        <v>42.0</v>
      </c>
      <c r="K18" s="89">
        <v>72.0</v>
      </c>
      <c r="L18" s="23">
        <f t="shared" si="9"/>
        <v>556</v>
      </c>
      <c r="M18" s="24">
        <f t="shared" si="2"/>
        <v>0.1350909939</v>
      </c>
      <c r="N18" s="236">
        <f t="shared" si="3"/>
        <v>0.7783937824</v>
      </c>
      <c r="O18" s="236">
        <f t="shared" si="4"/>
        <v>0.8105935252</v>
      </c>
      <c r="P18" s="237">
        <f t="shared" si="5"/>
        <v>105.1539897</v>
      </c>
    </row>
    <row r="19" outlineLevel="1">
      <c r="A19" s="198" t="s">
        <v>68</v>
      </c>
      <c r="B19" s="251">
        <v>46106.0</v>
      </c>
      <c r="C19" s="252" t="s">
        <v>198</v>
      </c>
      <c r="D19" s="253">
        <v>451.4</v>
      </c>
      <c r="E19" s="89">
        <v>5420.0</v>
      </c>
      <c r="F19" s="89">
        <v>620.0</v>
      </c>
      <c r="G19" s="89">
        <v>527.0</v>
      </c>
      <c r="H19" s="89">
        <v>6.0</v>
      </c>
      <c r="I19" s="89">
        <v>15.0</v>
      </c>
      <c r="J19" s="89">
        <v>5.0</v>
      </c>
      <c r="K19" s="89">
        <v>21.0</v>
      </c>
      <c r="L19" s="23">
        <f t="shared" si="9"/>
        <v>574</v>
      </c>
      <c r="M19" s="24">
        <f t="shared" si="2"/>
        <v>0.1143911439</v>
      </c>
      <c r="N19" s="236">
        <f t="shared" si="3"/>
        <v>0.7280645161</v>
      </c>
      <c r="O19" s="236">
        <f t="shared" si="4"/>
        <v>0.7864111498</v>
      </c>
      <c r="P19" s="237">
        <f t="shared" si="5"/>
        <v>83.28413284</v>
      </c>
    </row>
    <row r="20" outlineLevel="1">
      <c r="A20" s="259" t="s">
        <v>60</v>
      </c>
      <c r="B20" s="15"/>
      <c r="C20" s="17"/>
      <c r="D20" s="260">
        <f>SUM(D15:D19)</f>
        <v>2709.23</v>
      </c>
      <c r="E20" s="261">
        <f t="shared" ref="E20:L20" si="10">sum(E15:E19)</f>
        <v>33045</v>
      </c>
      <c r="F20" s="261">
        <f t="shared" si="10"/>
        <v>3329</v>
      </c>
      <c r="G20" s="261">
        <f t="shared" si="10"/>
        <v>1843</v>
      </c>
      <c r="H20" s="261">
        <f t="shared" si="10"/>
        <v>12</v>
      </c>
      <c r="I20" s="261">
        <f t="shared" si="10"/>
        <v>218</v>
      </c>
      <c r="J20" s="261">
        <f t="shared" si="10"/>
        <v>143</v>
      </c>
      <c r="K20" s="261">
        <f t="shared" si="10"/>
        <v>250</v>
      </c>
      <c r="L20" s="261">
        <f t="shared" si="10"/>
        <v>2466</v>
      </c>
      <c r="M20" s="262">
        <f t="shared" si="2"/>
        <v>0.1007414132</v>
      </c>
      <c r="N20" s="260">
        <f t="shared" si="3"/>
        <v>0.8138269751</v>
      </c>
      <c r="O20" s="263">
        <f t="shared" si="4"/>
        <v>1.098633414</v>
      </c>
      <c r="P20" s="264">
        <f t="shared" si="5"/>
        <v>81.98607959</v>
      </c>
    </row>
    <row r="21" outlineLevel="1">
      <c r="A21" s="186" t="s">
        <v>202</v>
      </c>
      <c r="B21" s="265">
        <v>46114.0</v>
      </c>
      <c r="C21" s="50" t="s">
        <v>198</v>
      </c>
      <c r="D21" s="266">
        <v>715.23</v>
      </c>
      <c r="E21" s="151">
        <v>12624.0</v>
      </c>
      <c r="F21" s="151">
        <v>1708.0</v>
      </c>
      <c r="G21" s="50">
        <v>1208.0</v>
      </c>
      <c r="H21" s="50">
        <v>11.0</v>
      </c>
      <c r="I21" s="50">
        <v>86.0</v>
      </c>
      <c r="J21" s="50">
        <v>50.0</v>
      </c>
      <c r="K21" s="50">
        <v>298.0</v>
      </c>
      <c r="L21" s="50">
        <v>1655.0</v>
      </c>
      <c r="M21" s="56">
        <f t="shared" si="2"/>
        <v>0.1352978454</v>
      </c>
      <c r="N21" s="267">
        <f t="shared" si="3"/>
        <v>0.4187529274</v>
      </c>
      <c r="O21" s="267">
        <f t="shared" si="4"/>
        <v>0.432163142</v>
      </c>
      <c r="P21" s="267">
        <f t="shared" si="5"/>
        <v>56.65636882</v>
      </c>
    </row>
    <row r="22" outlineLevel="1">
      <c r="A22" s="186" t="s">
        <v>203</v>
      </c>
      <c r="B22" s="265">
        <v>46125.0</v>
      </c>
      <c r="C22" s="50" t="s">
        <v>198</v>
      </c>
      <c r="D22" s="266">
        <v>317.66</v>
      </c>
      <c r="E22" s="268">
        <v>6162.0</v>
      </c>
      <c r="F22" s="50">
        <v>616.0</v>
      </c>
      <c r="G22" s="50">
        <v>81.0</v>
      </c>
      <c r="H22" s="50">
        <v>0.0</v>
      </c>
      <c r="I22" s="50">
        <v>61.0</v>
      </c>
      <c r="J22" s="50">
        <v>5.0</v>
      </c>
      <c r="K22" s="50">
        <v>7.0</v>
      </c>
      <c r="L22" s="50">
        <v>154.0</v>
      </c>
      <c r="M22" s="56">
        <f t="shared" si="2"/>
        <v>0.09996754301</v>
      </c>
      <c r="N22" s="267">
        <f t="shared" si="3"/>
        <v>0.5156818182</v>
      </c>
      <c r="O22" s="267">
        <f t="shared" si="4"/>
        <v>2.062727273</v>
      </c>
      <c r="P22" s="267">
        <f t="shared" si="5"/>
        <v>51.55144434</v>
      </c>
    </row>
    <row r="23" outlineLevel="1">
      <c r="A23" s="186" t="s">
        <v>204</v>
      </c>
      <c r="B23" s="265">
        <v>46129.0</v>
      </c>
      <c r="C23" s="50" t="s">
        <v>198</v>
      </c>
      <c r="D23" s="266">
        <v>384.29</v>
      </c>
      <c r="E23" s="269">
        <v>3158.0</v>
      </c>
      <c r="F23" s="50">
        <v>257.0</v>
      </c>
      <c r="G23" s="50">
        <v>157.0</v>
      </c>
      <c r="H23" s="50">
        <v>0.0</v>
      </c>
      <c r="I23" s="50">
        <v>44.0</v>
      </c>
      <c r="J23" s="50">
        <v>15.0</v>
      </c>
      <c r="K23" s="50">
        <v>24.0</v>
      </c>
      <c r="L23" s="50">
        <v>240.0</v>
      </c>
      <c r="M23" s="56">
        <f t="shared" si="2"/>
        <v>0.08138062065</v>
      </c>
      <c r="N23" s="267">
        <f t="shared" si="3"/>
        <v>1.495291829</v>
      </c>
      <c r="O23" s="267">
        <f t="shared" si="4"/>
        <v>1.601208333</v>
      </c>
      <c r="P23" s="267">
        <f t="shared" si="5"/>
        <v>121.6877771</v>
      </c>
    </row>
    <row r="24" outlineLevel="1">
      <c r="A24" s="186" t="s">
        <v>205</v>
      </c>
      <c r="B24" s="265">
        <v>46132.0</v>
      </c>
      <c r="C24" s="50" t="s">
        <v>198</v>
      </c>
      <c r="D24" s="266">
        <v>568.44</v>
      </c>
      <c r="E24" s="151">
        <v>5231.0</v>
      </c>
      <c r="F24" s="50">
        <v>478.0</v>
      </c>
      <c r="G24" s="50">
        <v>343.0</v>
      </c>
      <c r="H24" s="50">
        <v>5.0</v>
      </c>
      <c r="I24" s="50">
        <v>47.0</v>
      </c>
      <c r="J24" s="50">
        <v>45.0</v>
      </c>
      <c r="K24" s="50">
        <v>20.0</v>
      </c>
      <c r="L24" s="50">
        <v>460.0</v>
      </c>
      <c r="M24" s="56">
        <f t="shared" si="2"/>
        <v>0.09137832154</v>
      </c>
      <c r="N24" s="267">
        <f t="shared" si="3"/>
        <v>1.189205021</v>
      </c>
      <c r="O24" s="267">
        <f t="shared" si="4"/>
        <v>1.23573913</v>
      </c>
      <c r="P24" s="267">
        <f t="shared" si="5"/>
        <v>108.6675588</v>
      </c>
    </row>
    <row r="25" outlineLevel="1">
      <c r="A25" s="186" t="s">
        <v>206</v>
      </c>
      <c r="B25" s="265">
        <v>46134.0</v>
      </c>
      <c r="C25" s="50" t="s">
        <v>198</v>
      </c>
      <c r="D25" s="266">
        <v>384.69</v>
      </c>
      <c r="E25" s="269">
        <v>8071.0</v>
      </c>
      <c r="F25" s="151">
        <v>1128.0</v>
      </c>
      <c r="G25" s="50">
        <v>177.0</v>
      </c>
      <c r="H25" s="50">
        <v>7.0</v>
      </c>
      <c r="I25" s="50">
        <v>88.0</v>
      </c>
      <c r="J25" s="50">
        <v>22.0</v>
      </c>
      <c r="K25" s="50">
        <v>36.0</v>
      </c>
      <c r="L25" s="50">
        <v>330.0</v>
      </c>
      <c r="M25" s="56">
        <f t="shared" si="2"/>
        <v>0.1397596333</v>
      </c>
      <c r="N25" s="267">
        <f t="shared" si="3"/>
        <v>0.341037234</v>
      </c>
      <c r="O25" s="267">
        <f t="shared" si="4"/>
        <v>1.165727273</v>
      </c>
      <c r="P25" s="267">
        <f t="shared" si="5"/>
        <v>47.66323876</v>
      </c>
    </row>
    <row r="26" outlineLevel="1">
      <c r="A26" s="186" t="s">
        <v>207</v>
      </c>
      <c r="B26" s="265">
        <v>46136.0</v>
      </c>
      <c r="C26" s="50" t="s">
        <v>198</v>
      </c>
      <c r="D26" s="266">
        <v>304.36</v>
      </c>
      <c r="E26" s="270">
        <v>4026.0</v>
      </c>
      <c r="F26" s="50">
        <v>343.0</v>
      </c>
      <c r="G26" s="50">
        <v>158.0</v>
      </c>
      <c r="H26" s="50">
        <v>1.0</v>
      </c>
      <c r="I26" s="50">
        <v>23.0</v>
      </c>
      <c r="J26" s="50">
        <v>61.0</v>
      </c>
      <c r="K26" s="50">
        <v>18.0</v>
      </c>
      <c r="L26" s="50">
        <v>261.0</v>
      </c>
      <c r="M26" s="56">
        <f t="shared" si="2"/>
        <v>0.08519622454</v>
      </c>
      <c r="N26" s="267">
        <f t="shared" si="3"/>
        <v>0.8873469388</v>
      </c>
      <c r="O26" s="267">
        <f t="shared" si="4"/>
        <v>1.166130268</v>
      </c>
      <c r="P26" s="267">
        <f t="shared" si="5"/>
        <v>75.59860904</v>
      </c>
    </row>
    <row r="27" outlineLevel="1">
      <c r="A27" s="186" t="s">
        <v>208</v>
      </c>
      <c r="B27" s="265">
        <v>46140.0</v>
      </c>
      <c r="C27" s="50" t="s">
        <v>198</v>
      </c>
      <c r="D27" s="266">
        <v>182.04</v>
      </c>
      <c r="E27" s="151">
        <v>4005.0</v>
      </c>
      <c r="F27" s="50">
        <v>403.0</v>
      </c>
      <c r="G27" s="50">
        <v>12.0</v>
      </c>
      <c r="H27" s="50">
        <v>0.0</v>
      </c>
      <c r="I27" s="50">
        <v>14.0</v>
      </c>
      <c r="J27" s="50">
        <v>7.0</v>
      </c>
      <c r="K27" s="50">
        <v>3.0</v>
      </c>
      <c r="L27" s="50">
        <v>36.0</v>
      </c>
      <c r="M27" s="56">
        <f t="shared" si="2"/>
        <v>0.1006242197</v>
      </c>
      <c r="N27" s="267">
        <f t="shared" si="3"/>
        <v>0.4517121588</v>
      </c>
      <c r="O27" s="267">
        <f t="shared" si="4"/>
        <v>5.056666667</v>
      </c>
      <c r="P27" s="267">
        <f t="shared" si="5"/>
        <v>45.45318352</v>
      </c>
    </row>
    <row r="28" outlineLevel="1">
      <c r="A28" s="186" t="s">
        <v>209</v>
      </c>
      <c r="B28" s="265">
        <v>46142.0</v>
      </c>
      <c r="C28" s="50" t="s">
        <v>198</v>
      </c>
      <c r="D28" s="266">
        <v>150.19</v>
      </c>
      <c r="E28" s="151">
        <v>1154.0</v>
      </c>
      <c r="F28" s="50">
        <v>84.0</v>
      </c>
      <c r="G28" s="50">
        <v>41.0</v>
      </c>
      <c r="H28" s="50">
        <v>0.0</v>
      </c>
      <c r="I28" s="50">
        <v>7.0</v>
      </c>
      <c r="J28" s="50">
        <v>2.0</v>
      </c>
      <c r="K28" s="50">
        <v>10.0</v>
      </c>
      <c r="L28" s="50">
        <v>60.0</v>
      </c>
      <c r="M28" s="56">
        <f t="shared" si="2"/>
        <v>0.07279029463</v>
      </c>
      <c r="N28" s="267">
        <f t="shared" si="3"/>
        <v>1.78797619</v>
      </c>
      <c r="O28" s="267">
        <f t="shared" si="4"/>
        <v>2.503166667</v>
      </c>
      <c r="P28" s="267">
        <f t="shared" si="5"/>
        <v>130.1473137</v>
      </c>
    </row>
    <row r="29" outlineLevel="1">
      <c r="A29" s="202" t="s">
        <v>80</v>
      </c>
      <c r="B29" s="15"/>
      <c r="C29" s="17"/>
      <c r="D29" s="216">
        <f t="shared" ref="D29:L29" si="11">SUM(D21:D28)</f>
        <v>3006.9</v>
      </c>
      <c r="E29" s="204">
        <f t="shared" si="11"/>
        <v>44431</v>
      </c>
      <c r="F29" s="204">
        <f t="shared" si="11"/>
        <v>5017</v>
      </c>
      <c r="G29" s="205">
        <f t="shared" si="11"/>
        <v>2177</v>
      </c>
      <c r="H29" s="205">
        <f t="shared" si="11"/>
        <v>24</v>
      </c>
      <c r="I29" s="205">
        <f t="shared" si="11"/>
        <v>370</v>
      </c>
      <c r="J29" s="205">
        <f t="shared" si="11"/>
        <v>207</v>
      </c>
      <c r="K29" s="205">
        <f t="shared" si="11"/>
        <v>416</v>
      </c>
      <c r="L29" s="204">
        <f t="shared" si="11"/>
        <v>3196</v>
      </c>
      <c r="M29" s="271">
        <f t="shared" si="2"/>
        <v>0.1129166573</v>
      </c>
      <c r="N29" s="216">
        <f t="shared" si="3"/>
        <v>0.5993422364</v>
      </c>
      <c r="O29" s="216">
        <f t="shared" si="4"/>
        <v>0.9408322904</v>
      </c>
      <c r="P29" s="216">
        <f t="shared" si="5"/>
        <v>67.67572191</v>
      </c>
    </row>
    <row r="30" outlineLevel="1">
      <c r="A30" s="186" t="s">
        <v>109</v>
      </c>
      <c r="B30" s="265">
        <v>46150.0</v>
      </c>
      <c r="C30" s="50" t="s">
        <v>198</v>
      </c>
      <c r="D30" s="266">
        <v>399.42</v>
      </c>
      <c r="E30" s="151">
        <v>7279.0</v>
      </c>
      <c r="F30" s="151">
        <v>826.0</v>
      </c>
      <c r="G30" s="50">
        <v>67.0</v>
      </c>
      <c r="H30" s="50">
        <v>18.0</v>
      </c>
      <c r="I30" s="50">
        <v>27.0</v>
      </c>
      <c r="J30" s="50">
        <v>23.0</v>
      </c>
      <c r="K30" s="50">
        <v>16.0</v>
      </c>
      <c r="L30" s="54">
        <f t="shared" ref="L30:L33" si="12">G30+H30+I30+J30+K30</f>
        <v>151</v>
      </c>
      <c r="M30" s="56">
        <v>0.1135</v>
      </c>
      <c r="N30" s="267">
        <v>2.48</v>
      </c>
      <c r="O30" s="267">
        <v>2.65</v>
      </c>
      <c r="P30" s="267">
        <v>54.87</v>
      </c>
    </row>
    <row r="31" outlineLevel="1">
      <c r="A31" s="186" t="s">
        <v>88</v>
      </c>
      <c r="B31" s="265">
        <v>46155.0</v>
      </c>
      <c r="C31" s="50" t="s">
        <v>198</v>
      </c>
      <c r="D31" s="266">
        <v>422.1</v>
      </c>
      <c r="E31" s="151">
        <v>6093.0</v>
      </c>
      <c r="F31" s="151">
        <v>612.0</v>
      </c>
      <c r="G31" s="50">
        <v>74.0</v>
      </c>
      <c r="H31" s="50">
        <v>0.0</v>
      </c>
      <c r="I31" s="50">
        <v>33.0</v>
      </c>
      <c r="J31" s="50">
        <v>7.0</v>
      </c>
      <c r="K31" s="50">
        <v>15.0</v>
      </c>
      <c r="L31" s="54">
        <f t="shared" si="12"/>
        <v>129</v>
      </c>
      <c r="M31" s="56">
        <v>0.1004</v>
      </c>
      <c r="N31" s="267">
        <v>2.06</v>
      </c>
      <c r="O31" s="267">
        <v>3.27</v>
      </c>
      <c r="P31" s="267">
        <v>69.28</v>
      </c>
    </row>
    <row r="32" outlineLevel="1">
      <c r="A32" s="186" t="s">
        <v>210</v>
      </c>
      <c r="B32" s="265">
        <v>46162.0</v>
      </c>
      <c r="C32" s="50" t="s">
        <v>198</v>
      </c>
      <c r="D32" s="266">
        <v>453.08</v>
      </c>
      <c r="E32" s="151">
        <v>7350.0</v>
      </c>
      <c r="F32" s="151">
        <v>867.0</v>
      </c>
      <c r="G32" s="50">
        <v>86.0</v>
      </c>
      <c r="H32" s="50">
        <v>1.0</v>
      </c>
      <c r="I32" s="50">
        <v>55.0</v>
      </c>
      <c r="J32" s="50">
        <v>6.0</v>
      </c>
      <c r="K32" s="50">
        <v>8.0</v>
      </c>
      <c r="L32" s="54">
        <f t="shared" si="12"/>
        <v>156</v>
      </c>
      <c r="M32" s="56">
        <v>0.118</v>
      </c>
      <c r="N32" s="267">
        <v>1.65</v>
      </c>
      <c r="O32" s="267">
        <v>2.9</v>
      </c>
      <c r="P32" s="267">
        <v>61.64</v>
      </c>
    </row>
    <row r="33" outlineLevel="1">
      <c r="A33" s="186" t="s">
        <v>116</v>
      </c>
      <c r="B33" s="265">
        <v>46171.0</v>
      </c>
      <c r="C33" s="50" t="s">
        <v>198</v>
      </c>
      <c r="D33" s="266">
        <v>291.89</v>
      </c>
      <c r="E33" s="151">
        <v>6848.0</v>
      </c>
      <c r="F33" s="151">
        <v>684.0</v>
      </c>
      <c r="G33" s="50">
        <v>73.0</v>
      </c>
      <c r="H33" s="50">
        <v>0.0</v>
      </c>
      <c r="I33" s="50">
        <v>29.0</v>
      </c>
      <c r="J33" s="50">
        <v>6.0</v>
      </c>
      <c r="K33" s="50">
        <v>17.0</v>
      </c>
      <c r="L33" s="54">
        <f t="shared" si="12"/>
        <v>125</v>
      </c>
      <c r="M33" s="56">
        <v>0.0999</v>
      </c>
      <c r="N33" s="267">
        <v>1.43</v>
      </c>
      <c r="O33" s="267">
        <v>2.34</v>
      </c>
      <c r="P33" s="267">
        <v>42.62</v>
      </c>
    </row>
    <row r="34" outlineLevel="1">
      <c r="A34" s="202" t="s">
        <v>110</v>
      </c>
      <c r="B34" s="15"/>
      <c r="C34" s="17"/>
      <c r="D34" s="279">
        <f t="shared" ref="D34:L34" si="13">SUM(D30:D33)</f>
        <v>1566.49</v>
      </c>
      <c r="E34" s="280">
        <f t="shared" si="13"/>
        <v>27570</v>
      </c>
      <c r="F34" s="280">
        <f t="shared" si="13"/>
        <v>2989</v>
      </c>
      <c r="G34" s="203">
        <f t="shared" si="13"/>
        <v>300</v>
      </c>
      <c r="H34" s="203">
        <f t="shared" si="13"/>
        <v>19</v>
      </c>
      <c r="I34" s="203">
        <f t="shared" si="13"/>
        <v>144</v>
      </c>
      <c r="J34" s="203">
        <f t="shared" si="13"/>
        <v>42</v>
      </c>
      <c r="K34" s="203">
        <f t="shared" si="13"/>
        <v>56</v>
      </c>
      <c r="L34" s="205">
        <f t="shared" si="13"/>
        <v>561</v>
      </c>
      <c r="M34" s="271">
        <f>F34/E34</f>
        <v>0.1084149438</v>
      </c>
      <c r="N34" s="216">
        <f t="shared" ref="N34:N51" si="14">D34/F34</f>
        <v>0.5240849783</v>
      </c>
      <c r="O34" s="216">
        <f t="shared" ref="O34:O39" si="15">D34/L34</f>
        <v>2.792317291</v>
      </c>
      <c r="P34" s="216">
        <f t="shared" ref="P34:P51" si="16">D34/E34*1000</f>
        <v>56.81864345</v>
      </c>
    </row>
    <row r="35" outlineLevel="1">
      <c r="A35" s="186" t="s">
        <v>116</v>
      </c>
      <c r="B35" s="265">
        <v>46174.0</v>
      </c>
      <c r="C35" s="50" t="s">
        <v>198</v>
      </c>
      <c r="D35" s="266">
        <v>1.96</v>
      </c>
      <c r="E35" s="151">
        <v>17.0</v>
      </c>
      <c r="F35" s="151">
        <v>2.0</v>
      </c>
      <c r="G35" s="50">
        <v>1.0</v>
      </c>
      <c r="H35" s="50">
        <v>0.0</v>
      </c>
      <c r="I35" s="50">
        <v>1.0</v>
      </c>
      <c r="J35" s="50">
        <v>0.0</v>
      </c>
      <c r="K35" s="50">
        <v>0.0</v>
      </c>
      <c r="L35" s="50">
        <v>2.0</v>
      </c>
      <c r="M35" s="281">
        <v>0.1176</v>
      </c>
      <c r="N35" s="267">
        <f t="shared" si="14"/>
        <v>0.98</v>
      </c>
      <c r="O35" s="267">
        <f t="shared" si="15"/>
        <v>0.98</v>
      </c>
      <c r="P35" s="267">
        <f t="shared" si="16"/>
        <v>115.2941176</v>
      </c>
    </row>
    <row r="36" outlineLevel="1">
      <c r="A36" s="186" t="s">
        <v>121</v>
      </c>
      <c r="B36" s="265">
        <v>46175.0</v>
      </c>
      <c r="C36" s="50" t="s">
        <v>198</v>
      </c>
      <c r="D36" s="266">
        <v>149.79</v>
      </c>
      <c r="E36" s="151">
        <v>2640.0</v>
      </c>
      <c r="F36" s="151">
        <v>246.0</v>
      </c>
      <c r="G36" s="50">
        <v>13.0</v>
      </c>
      <c r="H36" s="50">
        <v>8.0</v>
      </c>
      <c r="I36" s="50">
        <v>8.0</v>
      </c>
      <c r="J36" s="50">
        <v>7.0</v>
      </c>
      <c r="K36" s="50">
        <v>6.0</v>
      </c>
      <c r="L36" s="50">
        <v>42.0</v>
      </c>
      <c r="M36" s="281">
        <v>0.0932</v>
      </c>
      <c r="N36" s="267">
        <f t="shared" si="14"/>
        <v>0.608902439</v>
      </c>
      <c r="O36" s="267">
        <f t="shared" si="15"/>
        <v>3.566428571</v>
      </c>
      <c r="P36" s="267">
        <f t="shared" si="16"/>
        <v>56.73863636</v>
      </c>
    </row>
    <row r="37" outlineLevel="1">
      <c r="A37" s="186" t="s">
        <v>122</v>
      </c>
      <c r="B37" s="265">
        <v>46182.0</v>
      </c>
      <c r="C37" s="50" t="s">
        <v>198</v>
      </c>
      <c r="D37" s="266">
        <v>150.12</v>
      </c>
      <c r="E37" s="151">
        <v>1769.0</v>
      </c>
      <c r="F37" s="151">
        <v>193.0</v>
      </c>
      <c r="G37" s="50">
        <v>133.0</v>
      </c>
      <c r="H37" s="50">
        <v>2.0</v>
      </c>
      <c r="I37" s="50">
        <v>59.0</v>
      </c>
      <c r="J37" s="50">
        <v>2.0</v>
      </c>
      <c r="K37" s="50">
        <v>27.0</v>
      </c>
      <c r="L37" s="50">
        <v>223.0</v>
      </c>
      <c r="M37" s="281">
        <v>0.1091</v>
      </c>
      <c r="N37" s="267">
        <f t="shared" si="14"/>
        <v>0.7778238342</v>
      </c>
      <c r="O37" s="267">
        <f t="shared" si="15"/>
        <v>0.6731838565</v>
      </c>
      <c r="P37" s="267">
        <f t="shared" si="16"/>
        <v>84.86150367</v>
      </c>
    </row>
    <row r="38" outlineLevel="1">
      <c r="A38" s="186" t="s">
        <v>122</v>
      </c>
      <c r="B38" s="265">
        <v>46183.0</v>
      </c>
      <c r="C38" s="50" t="s">
        <v>198</v>
      </c>
      <c r="D38" s="266">
        <v>150.31</v>
      </c>
      <c r="E38" s="151">
        <v>2160.0</v>
      </c>
      <c r="F38" s="151">
        <v>227.0</v>
      </c>
      <c r="G38" s="50">
        <v>152.0</v>
      </c>
      <c r="H38" s="50">
        <v>1.0</v>
      </c>
      <c r="I38" s="50">
        <v>71.0</v>
      </c>
      <c r="J38" s="50">
        <v>3.0</v>
      </c>
      <c r="K38" s="50">
        <v>44.0</v>
      </c>
      <c r="L38" s="50">
        <v>271.0</v>
      </c>
      <c r="M38" s="281">
        <v>0.1051</v>
      </c>
      <c r="N38" s="267">
        <f t="shared" si="14"/>
        <v>0.6621585903</v>
      </c>
      <c r="O38" s="267">
        <f t="shared" si="15"/>
        <v>0.5546494465</v>
      </c>
      <c r="P38" s="267">
        <f t="shared" si="16"/>
        <v>69.58796296</v>
      </c>
    </row>
    <row r="39" outlineLevel="1">
      <c r="A39" s="186" t="s">
        <v>122</v>
      </c>
      <c r="B39" s="265">
        <v>46184.0</v>
      </c>
      <c r="C39" s="50" t="s">
        <v>198</v>
      </c>
      <c r="D39" s="266">
        <v>150.1</v>
      </c>
      <c r="E39" s="151">
        <v>1513.0</v>
      </c>
      <c r="F39" s="151">
        <v>189.0</v>
      </c>
      <c r="G39" s="50">
        <v>141.0</v>
      </c>
      <c r="H39" s="50">
        <v>0.0</v>
      </c>
      <c r="I39" s="50">
        <v>51.0</v>
      </c>
      <c r="J39" s="50">
        <v>4.0</v>
      </c>
      <c r="K39" s="50">
        <v>26.0</v>
      </c>
      <c r="L39" s="50">
        <v>222.0</v>
      </c>
      <c r="M39" s="281">
        <v>0.1249</v>
      </c>
      <c r="N39" s="267">
        <f t="shared" si="14"/>
        <v>0.7941798942</v>
      </c>
      <c r="O39" s="267">
        <f t="shared" si="15"/>
        <v>0.6761261261</v>
      </c>
      <c r="P39" s="267">
        <f t="shared" si="16"/>
        <v>99.20687376</v>
      </c>
    </row>
    <row r="40" outlineLevel="1">
      <c r="A40" s="186" t="s">
        <v>112</v>
      </c>
      <c r="B40" s="265">
        <v>46182.0</v>
      </c>
      <c r="C40" s="50" t="s">
        <v>198</v>
      </c>
      <c r="D40" s="266">
        <v>0.31</v>
      </c>
      <c r="E40" s="151">
        <v>1.0</v>
      </c>
      <c r="F40" s="151">
        <v>1.0</v>
      </c>
      <c r="G40" s="50">
        <v>0.0</v>
      </c>
      <c r="H40" s="50">
        <v>0.0</v>
      </c>
      <c r="I40" s="50">
        <v>0.0</v>
      </c>
      <c r="J40" s="50">
        <v>0.0</v>
      </c>
      <c r="K40" s="50">
        <v>0.0</v>
      </c>
      <c r="L40" s="50">
        <v>0.0</v>
      </c>
      <c r="M40" s="281">
        <v>1.0</v>
      </c>
      <c r="N40" s="267">
        <f t="shared" si="14"/>
        <v>0.31</v>
      </c>
      <c r="O40" s="50">
        <v>0.0</v>
      </c>
      <c r="P40" s="267">
        <f t="shared" si="16"/>
        <v>310</v>
      </c>
    </row>
    <row r="41" outlineLevel="1">
      <c r="A41" s="186" t="s">
        <v>112</v>
      </c>
      <c r="B41" s="265">
        <v>46183.0</v>
      </c>
      <c r="C41" s="50" t="s">
        <v>198</v>
      </c>
      <c r="D41" s="266">
        <v>149.84</v>
      </c>
      <c r="E41" s="151">
        <v>2090.0</v>
      </c>
      <c r="F41" s="151">
        <v>245.0</v>
      </c>
      <c r="G41" s="50">
        <v>33.0</v>
      </c>
      <c r="H41" s="50">
        <v>0.0</v>
      </c>
      <c r="I41" s="50">
        <v>20.0</v>
      </c>
      <c r="J41" s="50">
        <v>2.0</v>
      </c>
      <c r="K41" s="50">
        <v>5.0</v>
      </c>
      <c r="L41" s="50">
        <v>60.0</v>
      </c>
      <c r="M41" s="281">
        <v>0.1172</v>
      </c>
      <c r="N41" s="267">
        <f t="shared" si="14"/>
        <v>0.6115918367</v>
      </c>
      <c r="O41" s="267">
        <f t="shared" ref="O41:O51" si="17">D41/L41</f>
        <v>2.497333333</v>
      </c>
      <c r="P41" s="267">
        <f t="shared" si="16"/>
        <v>71.6937799</v>
      </c>
    </row>
    <row r="42" outlineLevel="1">
      <c r="A42" s="186" t="s">
        <v>112</v>
      </c>
      <c r="B42" s="265">
        <v>46184.0</v>
      </c>
      <c r="C42" s="50" t="s">
        <v>198</v>
      </c>
      <c r="D42" s="266">
        <v>150.62</v>
      </c>
      <c r="E42" s="151">
        <v>2123.0</v>
      </c>
      <c r="F42" s="151">
        <v>236.0</v>
      </c>
      <c r="G42" s="50">
        <v>32.0</v>
      </c>
      <c r="H42" s="50">
        <v>0.0</v>
      </c>
      <c r="I42" s="50">
        <v>15.0</v>
      </c>
      <c r="J42" s="50">
        <v>0.0</v>
      </c>
      <c r="K42" s="50">
        <v>3.0</v>
      </c>
      <c r="L42" s="50">
        <v>50.0</v>
      </c>
      <c r="M42" s="281">
        <v>0.1112</v>
      </c>
      <c r="N42" s="267">
        <f t="shared" si="14"/>
        <v>0.638220339</v>
      </c>
      <c r="O42" s="267">
        <f t="shared" si="17"/>
        <v>3.0124</v>
      </c>
      <c r="P42" s="267">
        <f t="shared" si="16"/>
        <v>70.94677343</v>
      </c>
    </row>
    <row r="43" outlineLevel="1">
      <c r="A43" s="186" t="s">
        <v>126</v>
      </c>
      <c r="B43" s="265">
        <v>46191.0</v>
      </c>
      <c r="C43" s="50" t="s">
        <v>198</v>
      </c>
      <c r="D43" s="266">
        <v>151.17</v>
      </c>
      <c r="E43" s="151">
        <v>743.0</v>
      </c>
      <c r="F43" s="151">
        <v>52.0</v>
      </c>
      <c r="G43" s="50">
        <v>39.0</v>
      </c>
      <c r="H43" s="50">
        <v>1.0</v>
      </c>
      <c r="I43" s="50">
        <v>4.0</v>
      </c>
      <c r="J43" s="50">
        <v>3.0</v>
      </c>
      <c r="K43" s="50">
        <v>3.0</v>
      </c>
      <c r="L43" s="50">
        <v>50.0</v>
      </c>
      <c r="M43" s="281">
        <v>0.07</v>
      </c>
      <c r="N43" s="267">
        <f t="shared" si="14"/>
        <v>2.907115385</v>
      </c>
      <c r="O43" s="267">
        <f t="shared" si="17"/>
        <v>3.0234</v>
      </c>
      <c r="P43" s="267">
        <f t="shared" si="16"/>
        <v>203.4589502</v>
      </c>
    </row>
    <row r="44" outlineLevel="1">
      <c r="A44" s="186" t="s">
        <v>126</v>
      </c>
      <c r="B44" s="265">
        <v>46192.0</v>
      </c>
      <c r="C44" s="50" t="s">
        <v>198</v>
      </c>
      <c r="D44" s="266">
        <v>151.14</v>
      </c>
      <c r="E44" s="151">
        <v>399.0</v>
      </c>
      <c r="F44" s="151">
        <v>48.0</v>
      </c>
      <c r="G44" s="50">
        <v>39.0</v>
      </c>
      <c r="H44" s="50">
        <v>0.0</v>
      </c>
      <c r="I44" s="50">
        <v>10.0</v>
      </c>
      <c r="J44" s="50">
        <v>5.0</v>
      </c>
      <c r="K44" s="50">
        <v>3.0</v>
      </c>
      <c r="L44" s="50">
        <v>57.0</v>
      </c>
      <c r="M44" s="281">
        <v>0.1203</v>
      </c>
      <c r="N44" s="267">
        <f t="shared" si="14"/>
        <v>3.14875</v>
      </c>
      <c r="O44" s="267">
        <f t="shared" si="17"/>
        <v>2.651578947</v>
      </c>
      <c r="P44" s="267">
        <f t="shared" si="16"/>
        <v>378.7969925</v>
      </c>
    </row>
    <row r="45" outlineLevel="1">
      <c r="A45" s="186" t="s">
        <v>128</v>
      </c>
      <c r="B45" s="265">
        <v>46197.0</v>
      </c>
      <c r="C45" s="50" t="s">
        <v>198</v>
      </c>
      <c r="D45" s="266">
        <v>143.18</v>
      </c>
      <c r="E45" s="151">
        <v>960.0</v>
      </c>
      <c r="F45" s="151">
        <v>72.0</v>
      </c>
      <c r="G45" s="50">
        <v>48.0</v>
      </c>
      <c r="H45" s="50">
        <v>0.0</v>
      </c>
      <c r="I45" s="50">
        <v>10.0</v>
      </c>
      <c r="J45" s="50">
        <v>5.0</v>
      </c>
      <c r="K45" s="50">
        <v>3.0</v>
      </c>
      <c r="L45" s="50">
        <v>66.0</v>
      </c>
      <c r="M45" s="281">
        <v>0.075</v>
      </c>
      <c r="N45" s="267">
        <f t="shared" si="14"/>
        <v>1.988611111</v>
      </c>
      <c r="O45" s="267">
        <f t="shared" si="17"/>
        <v>2.169393939</v>
      </c>
      <c r="P45" s="267">
        <f t="shared" si="16"/>
        <v>149.1458333</v>
      </c>
    </row>
    <row r="46" outlineLevel="1">
      <c r="A46" s="186" t="s">
        <v>128</v>
      </c>
      <c r="B46" s="265">
        <v>46198.0</v>
      </c>
      <c r="C46" s="50" t="s">
        <v>198</v>
      </c>
      <c r="D46" s="266">
        <v>151.28</v>
      </c>
      <c r="E46" s="151">
        <v>1472.0</v>
      </c>
      <c r="F46" s="151">
        <v>133.0</v>
      </c>
      <c r="G46" s="50">
        <v>56.0</v>
      </c>
      <c r="H46" s="50">
        <v>0.0</v>
      </c>
      <c r="I46" s="50">
        <v>18.0</v>
      </c>
      <c r="J46" s="50">
        <v>8.0</v>
      </c>
      <c r="K46" s="50">
        <v>4.0</v>
      </c>
      <c r="L46" s="50">
        <v>86.0</v>
      </c>
      <c r="M46" s="281">
        <v>0.0904</v>
      </c>
      <c r="N46" s="267">
        <f t="shared" si="14"/>
        <v>1.137443609</v>
      </c>
      <c r="O46" s="267">
        <f t="shared" si="17"/>
        <v>1.759069767</v>
      </c>
      <c r="P46" s="267">
        <f t="shared" si="16"/>
        <v>102.7717391</v>
      </c>
    </row>
    <row r="47" outlineLevel="1">
      <c r="A47" s="186" t="s">
        <v>128</v>
      </c>
      <c r="B47" s="265">
        <v>46199.0</v>
      </c>
      <c r="C47" s="50" t="s">
        <v>198</v>
      </c>
      <c r="D47" s="266">
        <v>150.26</v>
      </c>
      <c r="E47" s="151">
        <v>1068.0</v>
      </c>
      <c r="F47" s="151">
        <v>86.0</v>
      </c>
      <c r="G47" s="50">
        <v>54.0</v>
      </c>
      <c r="H47" s="50">
        <v>0.0</v>
      </c>
      <c r="I47" s="50">
        <v>12.0</v>
      </c>
      <c r="J47" s="50">
        <v>7.0</v>
      </c>
      <c r="K47" s="50">
        <v>3.0</v>
      </c>
      <c r="L47" s="50">
        <v>76.0</v>
      </c>
      <c r="M47" s="281">
        <v>0.0805</v>
      </c>
      <c r="N47" s="267">
        <f t="shared" si="14"/>
        <v>1.747209302</v>
      </c>
      <c r="O47" s="267">
        <f t="shared" si="17"/>
        <v>1.977105263</v>
      </c>
      <c r="P47" s="267">
        <f t="shared" si="16"/>
        <v>140.6928839</v>
      </c>
    </row>
    <row r="48" outlineLevel="1">
      <c r="A48" s="186" t="s">
        <v>118</v>
      </c>
      <c r="B48" s="265">
        <v>46199.0</v>
      </c>
      <c r="C48" s="50" t="s">
        <v>198</v>
      </c>
      <c r="D48" s="266">
        <v>13.87</v>
      </c>
      <c r="E48" s="151">
        <v>400.0</v>
      </c>
      <c r="F48" s="151">
        <v>17.0</v>
      </c>
      <c r="G48" s="50">
        <v>3.0</v>
      </c>
      <c r="H48" s="50">
        <v>0.0</v>
      </c>
      <c r="I48" s="50">
        <v>1.0</v>
      </c>
      <c r="J48" s="50">
        <v>1.0</v>
      </c>
      <c r="K48" s="50">
        <v>2.0</v>
      </c>
      <c r="L48" s="50">
        <v>7.0</v>
      </c>
      <c r="M48" s="281">
        <v>0.0425</v>
      </c>
      <c r="N48" s="267">
        <f t="shared" si="14"/>
        <v>0.8158823529</v>
      </c>
      <c r="O48" s="267">
        <f t="shared" si="17"/>
        <v>1.981428571</v>
      </c>
      <c r="P48" s="267">
        <f t="shared" si="16"/>
        <v>34.675</v>
      </c>
    </row>
    <row r="49" outlineLevel="1">
      <c r="A49" s="186" t="s">
        <v>118</v>
      </c>
      <c r="B49" s="265">
        <v>46200.0</v>
      </c>
      <c r="C49" s="50" t="s">
        <v>198</v>
      </c>
      <c r="D49" s="266">
        <v>101.01</v>
      </c>
      <c r="E49" s="151">
        <v>2225.0</v>
      </c>
      <c r="F49" s="151">
        <v>176.0</v>
      </c>
      <c r="G49" s="50">
        <v>24.0</v>
      </c>
      <c r="H49" s="50">
        <v>1.0</v>
      </c>
      <c r="I49" s="50">
        <v>6.0</v>
      </c>
      <c r="J49" s="50">
        <v>2.0</v>
      </c>
      <c r="K49" s="50">
        <v>13.0</v>
      </c>
      <c r="L49" s="50">
        <v>46.0</v>
      </c>
      <c r="M49" s="281">
        <v>0.0791</v>
      </c>
      <c r="N49" s="267">
        <f t="shared" si="14"/>
        <v>0.5739204545</v>
      </c>
      <c r="O49" s="267">
        <f t="shared" si="17"/>
        <v>2.195869565</v>
      </c>
      <c r="P49" s="267">
        <f t="shared" si="16"/>
        <v>45.39775281</v>
      </c>
    </row>
    <row r="50" outlineLevel="1">
      <c r="A50" s="186" t="s">
        <v>118</v>
      </c>
      <c r="B50" s="265">
        <v>46201.0</v>
      </c>
      <c r="C50" s="50" t="s">
        <v>198</v>
      </c>
      <c r="D50" s="266">
        <v>100.26</v>
      </c>
      <c r="E50" s="151">
        <v>2008.0</v>
      </c>
      <c r="F50" s="151">
        <v>145.0</v>
      </c>
      <c r="G50" s="50">
        <v>25.0</v>
      </c>
      <c r="H50" s="50">
        <v>0.0</v>
      </c>
      <c r="I50" s="50">
        <v>9.0</v>
      </c>
      <c r="J50" s="50">
        <v>1.0</v>
      </c>
      <c r="K50" s="50">
        <v>12.0</v>
      </c>
      <c r="L50" s="50">
        <v>47.0</v>
      </c>
      <c r="M50" s="281">
        <v>0.0722</v>
      </c>
      <c r="N50" s="267">
        <f t="shared" si="14"/>
        <v>0.6914482759</v>
      </c>
      <c r="O50" s="267">
        <f t="shared" si="17"/>
        <v>2.133191489</v>
      </c>
      <c r="P50" s="267">
        <f t="shared" si="16"/>
        <v>49.93027888</v>
      </c>
    </row>
    <row r="51" outlineLevel="1">
      <c r="A51" s="202" t="s">
        <v>120</v>
      </c>
      <c r="B51" s="15"/>
      <c r="C51" s="17"/>
      <c r="D51" s="285">
        <f t="shared" ref="D51:L51" si="18">SUM(D35:D50)</f>
        <v>1865.22</v>
      </c>
      <c r="E51" s="286">
        <f t="shared" si="18"/>
        <v>21588</v>
      </c>
      <c r="F51" s="286">
        <f t="shared" si="18"/>
        <v>2068</v>
      </c>
      <c r="G51" s="287">
        <f t="shared" si="18"/>
        <v>793</v>
      </c>
      <c r="H51" s="287">
        <f t="shared" si="18"/>
        <v>13</v>
      </c>
      <c r="I51" s="287">
        <f t="shared" si="18"/>
        <v>295</v>
      </c>
      <c r="J51" s="287">
        <f t="shared" si="18"/>
        <v>50</v>
      </c>
      <c r="K51" s="287">
        <f t="shared" si="18"/>
        <v>154</v>
      </c>
      <c r="L51" s="287">
        <f t="shared" si="18"/>
        <v>1305</v>
      </c>
      <c r="M51" s="288">
        <f>F51/E51</f>
        <v>0.09579395961</v>
      </c>
      <c r="N51" s="285">
        <f t="shared" si="14"/>
        <v>0.9019439072</v>
      </c>
      <c r="O51" s="285">
        <f t="shared" si="17"/>
        <v>1.429287356</v>
      </c>
      <c r="P51" s="285">
        <f t="shared" si="16"/>
        <v>86.40077821</v>
      </c>
    </row>
    <row r="52">
      <c r="A52" s="186" t="s">
        <v>233</v>
      </c>
      <c r="B52" s="265">
        <v>46204.0</v>
      </c>
      <c r="C52" s="50" t="s">
        <v>198</v>
      </c>
      <c r="D52" s="266">
        <v>101.35</v>
      </c>
      <c r="E52" s="151">
        <v>1981.0</v>
      </c>
      <c r="F52" s="151">
        <v>63.0</v>
      </c>
      <c r="G52" s="50">
        <v>15.0</v>
      </c>
      <c r="H52" s="50">
        <v>14.0</v>
      </c>
      <c r="I52" s="50">
        <v>14.0</v>
      </c>
      <c r="J52" s="50">
        <v>6.0</v>
      </c>
      <c r="K52" s="50">
        <v>2.0</v>
      </c>
      <c r="L52" s="50">
        <v>51.0</v>
      </c>
      <c r="M52" s="281">
        <v>0.0318</v>
      </c>
      <c r="N52" s="266">
        <v>1.61</v>
      </c>
      <c r="O52" s="266">
        <v>1.99</v>
      </c>
      <c r="P52" s="266">
        <v>51.16</v>
      </c>
    </row>
    <row r="53">
      <c r="A53" s="186" t="s">
        <v>233</v>
      </c>
      <c r="B53" s="265">
        <v>46205.0</v>
      </c>
      <c r="C53" s="50" t="s">
        <v>198</v>
      </c>
      <c r="D53" s="266">
        <v>103.43</v>
      </c>
      <c r="E53" s="151">
        <v>1120.0</v>
      </c>
      <c r="F53" s="151">
        <v>51.0</v>
      </c>
      <c r="G53" s="50">
        <v>14.0</v>
      </c>
      <c r="H53" s="50">
        <v>9.0</v>
      </c>
      <c r="I53" s="50">
        <v>11.0</v>
      </c>
      <c r="J53" s="50">
        <v>9.0</v>
      </c>
      <c r="K53" s="50">
        <v>3.0</v>
      </c>
      <c r="L53" s="50">
        <v>46.0</v>
      </c>
      <c r="M53" s="281">
        <v>0.0455</v>
      </c>
      <c r="N53" s="266">
        <v>2.03</v>
      </c>
      <c r="O53" s="266">
        <v>2.25</v>
      </c>
      <c r="P53" s="266">
        <v>92.35</v>
      </c>
    </row>
    <row r="54">
      <c r="A54" s="186" t="s">
        <v>135</v>
      </c>
      <c r="B54" s="265">
        <v>46209.0</v>
      </c>
      <c r="C54" s="50" t="s">
        <v>198</v>
      </c>
      <c r="D54" s="266">
        <v>151.62</v>
      </c>
      <c r="E54" s="151">
        <v>1227.0</v>
      </c>
      <c r="F54" s="151">
        <v>72.0</v>
      </c>
      <c r="G54" s="50">
        <v>49.0</v>
      </c>
      <c r="H54" s="50">
        <v>0.0</v>
      </c>
      <c r="I54" s="50">
        <v>2.0</v>
      </c>
      <c r="J54" s="50">
        <v>7.0</v>
      </c>
      <c r="K54" s="50">
        <v>9.0</v>
      </c>
      <c r="L54" s="50">
        <v>67.0</v>
      </c>
      <c r="M54" s="281">
        <v>0.0587</v>
      </c>
      <c r="N54" s="266">
        <v>2.11</v>
      </c>
      <c r="O54" s="266">
        <v>2.26</v>
      </c>
      <c r="P54" s="266">
        <v>123.57</v>
      </c>
    </row>
    <row r="55">
      <c r="A55" s="186" t="s">
        <v>135</v>
      </c>
      <c r="B55" s="265">
        <v>46210.0</v>
      </c>
      <c r="C55" s="50" t="s">
        <v>198</v>
      </c>
      <c r="D55" s="266">
        <v>150.93</v>
      </c>
      <c r="E55" s="151">
        <v>1432.0</v>
      </c>
      <c r="F55" s="151">
        <v>106.0</v>
      </c>
      <c r="G55" s="50">
        <v>43.0</v>
      </c>
      <c r="H55" s="50">
        <v>1.0</v>
      </c>
      <c r="I55" s="50">
        <v>3.0</v>
      </c>
      <c r="J55" s="50">
        <v>4.0</v>
      </c>
      <c r="K55" s="50">
        <v>15.0</v>
      </c>
      <c r="L55" s="50">
        <v>66.0</v>
      </c>
      <c r="M55" s="281">
        <v>0.074</v>
      </c>
      <c r="N55" s="266">
        <v>1.42</v>
      </c>
      <c r="O55" s="266">
        <v>2.29</v>
      </c>
      <c r="P55" s="266">
        <v>105.4</v>
      </c>
    </row>
    <row r="56">
      <c r="A56" s="186" t="s">
        <v>135</v>
      </c>
      <c r="B56" s="265">
        <v>46211.0</v>
      </c>
      <c r="C56" s="50" t="s">
        <v>198</v>
      </c>
      <c r="D56" s="266">
        <v>152.77</v>
      </c>
      <c r="E56" s="151">
        <v>1517.0</v>
      </c>
      <c r="F56" s="151">
        <v>141.0</v>
      </c>
      <c r="G56" s="50">
        <v>52.0</v>
      </c>
      <c r="H56" s="50">
        <v>3.0</v>
      </c>
      <c r="I56" s="50">
        <v>6.0</v>
      </c>
      <c r="J56" s="50">
        <v>4.0</v>
      </c>
      <c r="K56" s="50">
        <v>18.0</v>
      </c>
      <c r="L56" s="50">
        <v>83.0</v>
      </c>
      <c r="M56" s="281">
        <v>0.0929</v>
      </c>
      <c r="N56" s="266">
        <v>1.08</v>
      </c>
      <c r="O56" s="266">
        <v>1.84</v>
      </c>
      <c r="P56" s="266">
        <v>100.71</v>
      </c>
    </row>
    <row r="57">
      <c r="A57" s="186" t="s">
        <v>137</v>
      </c>
      <c r="B57" s="265">
        <v>46213.0</v>
      </c>
      <c r="C57" s="50" t="s">
        <v>198</v>
      </c>
      <c r="D57" s="266">
        <v>150.04</v>
      </c>
      <c r="E57" s="151">
        <v>2112.0</v>
      </c>
      <c r="F57" s="151">
        <v>207.0</v>
      </c>
      <c r="G57" s="50">
        <v>122.0</v>
      </c>
      <c r="H57" s="50">
        <v>2.0</v>
      </c>
      <c r="I57" s="50">
        <v>9.0</v>
      </c>
      <c r="J57" s="50">
        <v>6.0</v>
      </c>
      <c r="K57" s="50">
        <v>30.0</v>
      </c>
      <c r="L57" s="50">
        <v>169.0</v>
      </c>
      <c r="M57" s="281">
        <v>0.098</v>
      </c>
      <c r="N57" s="266">
        <v>0.72</v>
      </c>
      <c r="O57" s="266">
        <v>0.89</v>
      </c>
      <c r="P57" s="266">
        <v>71.04</v>
      </c>
    </row>
    <row r="58">
      <c r="A58" s="186" t="s">
        <v>137</v>
      </c>
      <c r="B58" s="265">
        <v>46214.0</v>
      </c>
      <c r="C58" s="50" t="s">
        <v>198</v>
      </c>
      <c r="D58" s="266">
        <v>119.24</v>
      </c>
      <c r="E58" s="151">
        <v>1910.0</v>
      </c>
      <c r="F58" s="151">
        <v>242.0</v>
      </c>
      <c r="G58" s="50">
        <v>105.0</v>
      </c>
      <c r="H58" s="50">
        <v>3.0</v>
      </c>
      <c r="I58" s="50">
        <v>11.0</v>
      </c>
      <c r="J58" s="50">
        <v>7.0</v>
      </c>
      <c r="K58" s="50">
        <v>33.0</v>
      </c>
      <c r="L58" s="50">
        <v>159.0</v>
      </c>
      <c r="M58" s="281">
        <v>0.1267</v>
      </c>
      <c r="N58" s="266">
        <v>0.49</v>
      </c>
      <c r="O58" s="266">
        <v>0.75</v>
      </c>
      <c r="P58" s="266">
        <v>62.43</v>
      </c>
    </row>
    <row r="59">
      <c r="A59" s="186" t="s">
        <v>137</v>
      </c>
      <c r="B59" s="265">
        <v>46215.0</v>
      </c>
      <c r="C59" s="50" t="s">
        <v>198</v>
      </c>
      <c r="D59" s="266">
        <v>145.59</v>
      </c>
      <c r="E59" s="151">
        <v>2148.0</v>
      </c>
      <c r="F59" s="151">
        <v>229.0</v>
      </c>
      <c r="G59" s="50">
        <v>135.0</v>
      </c>
      <c r="H59" s="50">
        <v>0.0</v>
      </c>
      <c r="I59" s="50">
        <v>10.0</v>
      </c>
      <c r="J59" s="50">
        <v>6.0</v>
      </c>
      <c r="K59" s="50">
        <v>30.0</v>
      </c>
      <c r="L59" s="50">
        <v>181.0</v>
      </c>
      <c r="M59" s="281">
        <v>0.1066</v>
      </c>
      <c r="N59" s="266">
        <v>0.64</v>
      </c>
      <c r="O59" s="266">
        <v>0.8</v>
      </c>
      <c r="P59" s="266">
        <v>67.78</v>
      </c>
    </row>
    <row r="60">
      <c r="A60" s="186" t="s">
        <v>137</v>
      </c>
      <c r="B60" s="265">
        <v>46216.0</v>
      </c>
      <c r="C60" s="50" t="s">
        <v>198</v>
      </c>
      <c r="D60" s="266">
        <v>0.16</v>
      </c>
      <c r="E60" s="151">
        <v>6.0</v>
      </c>
      <c r="F60" s="151">
        <v>1.0</v>
      </c>
      <c r="G60" s="50">
        <v>0.0</v>
      </c>
      <c r="H60" s="50">
        <v>0.0</v>
      </c>
      <c r="I60" s="50">
        <v>0.0</v>
      </c>
      <c r="J60" s="50">
        <v>0.0</v>
      </c>
      <c r="K60" s="50">
        <v>0.0</v>
      </c>
      <c r="L60" s="50">
        <v>0.0</v>
      </c>
      <c r="M60" s="281">
        <v>0.1667</v>
      </c>
      <c r="N60" s="266">
        <v>0.16</v>
      </c>
      <c r="O60" s="266">
        <v>0.0</v>
      </c>
      <c r="P60" s="266">
        <v>26.67</v>
      </c>
    </row>
    <row r="61">
      <c r="A61" s="186" t="s">
        <v>137</v>
      </c>
      <c r="B61" s="265">
        <v>46219.0</v>
      </c>
      <c r="C61" s="50" t="s">
        <v>198</v>
      </c>
      <c r="D61" s="266">
        <v>44.88</v>
      </c>
      <c r="E61" s="151">
        <v>863.0</v>
      </c>
      <c r="F61" s="151">
        <v>70.0</v>
      </c>
      <c r="G61" s="50">
        <v>31.0</v>
      </c>
      <c r="H61" s="50">
        <v>0.0</v>
      </c>
      <c r="I61" s="50">
        <v>4.0</v>
      </c>
      <c r="J61" s="50">
        <v>2.0</v>
      </c>
      <c r="K61" s="50">
        <v>10.0</v>
      </c>
      <c r="L61" s="50">
        <v>47.0</v>
      </c>
      <c r="M61" s="281">
        <v>0.0811</v>
      </c>
      <c r="N61" s="266">
        <v>0.64</v>
      </c>
      <c r="O61" s="266">
        <v>0.95</v>
      </c>
      <c r="P61" s="266">
        <v>52.0</v>
      </c>
    </row>
    <row r="62">
      <c r="A62" s="186" t="s">
        <v>137</v>
      </c>
      <c r="B62" s="265">
        <v>46220.0</v>
      </c>
      <c r="C62" s="50" t="s">
        <v>198</v>
      </c>
      <c r="D62" s="266">
        <v>100.48</v>
      </c>
      <c r="E62" s="151">
        <v>1638.0</v>
      </c>
      <c r="F62" s="151">
        <v>138.0</v>
      </c>
      <c r="G62" s="50">
        <v>43.0</v>
      </c>
      <c r="H62" s="50">
        <v>0.0</v>
      </c>
      <c r="I62" s="50">
        <v>9.0</v>
      </c>
      <c r="J62" s="50">
        <v>4.0</v>
      </c>
      <c r="K62" s="50">
        <v>23.0</v>
      </c>
      <c r="L62" s="50">
        <v>79.0</v>
      </c>
      <c r="M62" s="281">
        <v>0.0842</v>
      </c>
      <c r="N62" s="266">
        <v>0.73</v>
      </c>
      <c r="O62" s="266">
        <v>1.27</v>
      </c>
      <c r="P62" s="266">
        <v>61.34</v>
      </c>
    </row>
    <row r="63">
      <c r="A63" s="186" t="s">
        <v>137</v>
      </c>
      <c r="B63" s="265">
        <v>46221.0</v>
      </c>
      <c r="C63" s="50" t="s">
        <v>198</v>
      </c>
      <c r="D63" s="266">
        <v>99.84</v>
      </c>
      <c r="E63" s="151">
        <v>1521.0</v>
      </c>
      <c r="F63" s="151">
        <v>145.0</v>
      </c>
      <c r="G63" s="50">
        <v>47.0</v>
      </c>
      <c r="H63" s="50">
        <v>2.0</v>
      </c>
      <c r="I63" s="50">
        <v>8.0</v>
      </c>
      <c r="J63" s="50">
        <v>4.0</v>
      </c>
      <c r="K63" s="50">
        <v>14.0</v>
      </c>
      <c r="L63" s="50">
        <v>75.0</v>
      </c>
      <c r="M63" s="281">
        <v>0.0953</v>
      </c>
      <c r="N63" s="266">
        <v>0.69</v>
      </c>
      <c r="O63" s="266">
        <v>1.33</v>
      </c>
      <c r="P63" s="266">
        <v>65.64</v>
      </c>
    </row>
    <row r="64">
      <c r="A64" s="186" t="s">
        <v>138</v>
      </c>
      <c r="B64" s="265">
        <v>46219.0</v>
      </c>
      <c r="C64" s="50" t="s">
        <v>198</v>
      </c>
      <c r="D64" s="266">
        <v>152.82</v>
      </c>
      <c r="E64" s="151">
        <v>706.0</v>
      </c>
      <c r="F64" s="151">
        <v>84.0</v>
      </c>
      <c r="G64" s="50">
        <v>75.0</v>
      </c>
      <c r="H64" s="50">
        <v>0.0</v>
      </c>
      <c r="I64" s="50">
        <v>10.0</v>
      </c>
      <c r="J64" s="50">
        <v>3.0</v>
      </c>
      <c r="K64" s="50">
        <v>0.0</v>
      </c>
      <c r="L64" s="50">
        <v>88.0</v>
      </c>
      <c r="M64" s="281">
        <v>0.119</v>
      </c>
      <c r="N64" s="266">
        <v>1.82</v>
      </c>
      <c r="O64" s="266">
        <v>1.74</v>
      </c>
      <c r="P64" s="266">
        <v>216.46</v>
      </c>
    </row>
    <row r="65">
      <c r="A65" s="186" t="s">
        <v>138</v>
      </c>
      <c r="B65" s="265">
        <v>46220.0</v>
      </c>
      <c r="C65" s="50" t="s">
        <v>198</v>
      </c>
      <c r="D65" s="266">
        <v>150.08</v>
      </c>
      <c r="E65" s="151">
        <v>1038.0</v>
      </c>
      <c r="F65" s="151">
        <v>134.0</v>
      </c>
      <c r="G65" s="50">
        <v>103.0</v>
      </c>
      <c r="H65" s="50">
        <v>0.0</v>
      </c>
      <c r="I65" s="50">
        <v>11.0</v>
      </c>
      <c r="J65" s="50">
        <v>7.0</v>
      </c>
      <c r="K65" s="50">
        <v>5.0</v>
      </c>
      <c r="L65" s="50">
        <v>126.0</v>
      </c>
      <c r="M65" s="281">
        <v>0.1291</v>
      </c>
      <c r="N65" s="266">
        <v>1.12</v>
      </c>
      <c r="O65" s="266">
        <v>1.19</v>
      </c>
      <c r="P65" s="266">
        <v>144.59</v>
      </c>
    </row>
    <row r="66">
      <c r="A66" s="186" t="s">
        <v>138</v>
      </c>
      <c r="B66" s="265">
        <v>46221.0</v>
      </c>
      <c r="C66" s="50" t="s">
        <v>198</v>
      </c>
      <c r="D66" s="266">
        <v>150.2</v>
      </c>
      <c r="E66" s="151">
        <v>714.0</v>
      </c>
      <c r="F66" s="151">
        <v>154.0</v>
      </c>
      <c r="G66" s="50">
        <v>140.0</v>
      </c>
      <c r="H66" s="50">
        <v>0.0</v>
      </c>
      <c r="I66" s="50">
        <v>16.0</v>
      </c>
      <c r="J66" s="50">
        <v>3.0</v>
      </c>
      <c r="K66" s="50">
        <v>1.0</v>
      </c>
      <c r="L66" s="50">
        <v>160.0</v>
      </c>
      <c r="M66" s="281">
        <v>0.2157</v>
      </c>
      <c r="N66" s="266">
        <v>0.98</v>
      </c>
      <c r="O66" s="266">
        <v>0.94</v>
      </c>
      <c r="P66" s="266">
        <v>210.36</v>
      </c>
    </row>
    <row r="67">
      <c r="A67" s="186" t="s">
        <v>138</v>
      </c>
      <c r="B67" s="265">
        <v>46231.0</v>
      </c>
      <c r="C67" s="50" t="s">
        <v>198</v>
      </c>
      <c r="D67" s="266">
        <v>102.98</v>
      </c>
      <c r="E67" s="151">
        <v>747.0</v>
      </c>
      <c r="F67" s="151">
        <v>128.0</v>
      </c>
      <c r="G67" s="50">
        <v>111.0</v>
      </c>
      <c r="H67" s="50">
        <v>1.0</v>
      </c>
      <c r="I67" s="50">
        <v>10.0</v>
      </c>
      <c r="J67" s="50">
        <v>7.0</v>
      </c>
      <c r="K67" s="50">
        <v>4.0</v>
      </c>
      <c r="L67" s="50">
        <v>133.0</v>
      </c>
      <c r="M67" s="281">
        <v>0.1714</v>
      </c>
      <c r="N67" s="266">
        <v>0.8</v>
      </c>
      <c r="O67" s="266">
        <v>0.77</v>
      </c>
      <c r="P67" s="266">
        <v>137.86</v>
      </c>
    </row>
    <row r="68">
      <c r="A68" s="186" t="s">
        <v>138</v>
      </c>
      <c r="B68" s="265">
        <v>46232.0</v>
      </c>
      <c r="C68" s="50" t="s">
        <v>198</v>
      </c>
      <c r="D68" s="266">
        <v>100.63</v>
      </c>
      <c r="E68" s="151">
        <v>574.0</v>
      </c>
      <c r="F68" s="151">
        <v>115.0</v>
      </c>
      <c r="G68" s="50">
        <v>107.0</v>
      </c>
      <c r="H68" s="50">
        <v>0.0</v>
      </c>
      <c r="I68" s="50">
        <v>14.0</v>
      </c>
      <c r="J68" s="50">
        <v>1.0</v>
      </c>
      <c r="K68" s="50">
        <v>1.0</v>
      </c>
      <c r="L68" s="50">
        <v>123.0</v>
      </c>
      <c r="M68" s="281">
        <v>0.2003</v>
      </c>
      <c r="N68" s="266">
        <v>0.88</v>
      </c>
      <c r="O68" s="266">
        <v>0.82</v>
      </c>
      <c r="P68" s="266">
        <v>175.31</v>
      </c>
    </row>
    <row r="69">
      <c r="A69" s="186" t="s">
        <v>125</v>
      </c>
      <c r="B69" s="265">
        <v>46224.0</v>
      </c>
      <c r="C69" s="50" t="s">
        <v>198</v>
      </c>
      <c r="D69" s="266">
        <v>83.89</v>
      </c>
      <c r="E69" s="151">
        <v>265.0</v>
      </c>
      <c r="F69" s="151">
        <v>34.0</v>
      </c>
      <c r="G69" s="50">
        <v>6.0</v>
      </c>
      <c r="H69" s="50">
        <v>0.0</v>
      </c>
      <c r="I69" s="50">
        <v>2.0</v>
      </c>
      <c r="J69" s="50">
        <v>0.0</v>
      </c>
      <c r="K69" s="50">
        <v>1.0</v>
      </c>
      <c r="L69" s="50">
        <v>9.0</v>
      </c>
      <c r="M69" s="281">
        <v>0.1283</v>
      </c>
      <c r="N69" s="266">
        <v>2.47</v>
      </c>
      <c r="O69" s="266">
        <v>9.32</v>
      </c>
      <c r="P69" s="266">
        <v>316.57</v>
      </c>
    </row>
    <row r="70">
      <c r="A70" s="186" t="s">
        <v>125</v>
      </c>
      <c r="B70" s="265">
        <v>46225.0</v>
      </c>
      <c r="C70" s="50" t="s">
        <v>198</v>
      </c>
      <c r="D70" s="266">
        <v>100.26</v>
      </c>
      <c r="E70" s="151">
        <v>2220.0</v>
      </c>
      <c r="F70" s="151">
        <v>256.0</v>
      </c>
      <c r="G70" s="50">
        <v>22.0</v>
      </c>
      <c r="H70" s="50">
        <v>0.0</v>
      </c>
      <c r="I70" s="50">
        <v>8.0</v>
      </c>
      <c r="J70" s="50">
        <v>1.0</v>
      </c>
      <c r="K70" s="50">
        <v>3.0</v>
      </c>
      <c r="L70" s="50">
        <v>34.0</v>
      </c>
      <c r="M70" s="281">
        <v>0.1153</v>
      </c>
      <c r="N70" s="266">
        <v>0.39</v>
      </c>
      <c r="O70" s="266">
        <v>2.95</v>
      </c>
      <c r="P70" s="266">
        <v>45.16</v>
      </c>
    </row>
    <row r="71">
      <c r="A71" s="186" t="s">
        <v>125</v>
      </c>
      <c r="B71" s="265">
        <v>46226.0</v>
      </c>
      <c r="C71" s="50" t="s">
        <v>198</v>
      </c>
      <c r="D71" s="266">
        <v>100.07</v>
      </c>
      <c r="E71" s="151">
        <v>1871.0</v>
      </c>
      <c r="F71" s="151">
        <v>242.0</v>
      </c>
      <c r="G71" s="50">
        <v>15.0</v>
      </c>
      <c r="H71" s="50">
        <v>1.0</v>
      </c>
      <c r="I71" s="50">
        <v>9.0</v>
      </c>
      <c r="J71" s="50">
        <v>3.0</v>
      </c>
      <c r="K71" s="50">
        <v>5.0</v>
      </c>
      <c r="L71" s="50">
        <v>33.0</v>
      </c>
      <c r="M71" s="281">
        <v>0.1293</v>
      </c>
      <c r="N71" s="266">
        <v>0.41</v>
      </c>
      <c r="O71" s="266">
        <v>3.03</v>
      </c>
      <c r="P71" s="266">
        <v>53.48</v>
      </c>
    </row>
    <row r="72">
      <c r="A72" s="186" t="s">
        <v>125</v>
      </c>
      <c r="B72" s="265">
        <v>46231.0</v>
      </c>
      <c r="C72" s="50" t="s">
        <v>198</v>
      </c>
      <c r="D72" s="266">
        <v>97.07</v>
      </c>
      <c r="E72" s="151">
        <v>1651.0</v>
      </c>
      <c r="F72" s="151">
        <v>196.0</v>
      </c>
      <c r="G72" s="50">
        <v>16.0</v>
      </c>
      <c r="H72" s="50">
        <v>0.0</v>
      </c>
      <c r="I72" s="50">
        <v>9.0</v>
      </c>
      <c r="J72" s="50">
        <v>3.0</v>
      </c>
      <c r="K72" s="50">
        <v>5.0</v>
      </c>
      <c r="L72" s="50">
        <v>33.0</v>
      </c>
      <c r="M72" s="281">
        <v>0.1187</v>
      </c>
      <c r="N72" s="266">
        <v>0.5</v>
      </c>
      <c r="O72" s="266">
        <v>2.94</v>
      </c>
      <c r="P72" s="266">
        <v>58.79</v>
      </c>
    </row>
    <row r="73">
      <c r="A73" s="186" t="s">
        <v>125</v>
      </c>
      <c r="B73" s="265">
        <v>46232.0</v>
      </c>
      <c r="C73" s="50" t="s">
        <v>198</v>
      </c>
      <c r="D73" s="266">
        <v>99.5</v>
      </c>
      <c r="E73" s="151">
        <v>1567.0</v>
      </c>
      <c r="F73" s="151">
        <v>191.0</v>
      </c>
      <c r="G73" s="50">
        <v>16.0</v>
      </c>
      <c r="H73" s="50">
        <v>1.0</v>
      </c>
      <c r="I73" s="50">
        <v>8.0</v>
      </c>
      <c r="J73" s="50">
        <v>5.0</v>
      </c>
      <c r="K73" s="50">
        <v>2.0</v>
      </c>
      <c r="L73" s="50">
        <v>32.0</v>
      </c>
      <c r="M73" s="281">
        <v>0.1219</v>
      </c>
      <c r="N73" s="266">
        <v>0.52</v>
      </c>
      <c r="O73" s="266">
        <v>3.11</v>
      </c>
      <c r="P73" s="266">
        <v>63.5</v>
      </c>
    </row>
    <row r="74">
      <c r="A74" s="186" t="s">
        <v>142</v>
      </c>
      <c r="B74" s="265">
        <v>46234.0</v>
      </c>
      <c r="C74" s="50" t="s">
        <v>198</v>
      </c>
      <c r="D74" s="266">
        <v>142.18</v>
      </c>
      <c r="E74" s="151">
        <v>2000.0</v>
      </c>
      <c r="F74" s="151">
        <v>147.0</v>
      </c>
      <c r="G74" s="50">
        <v>79.0</v>
      </c>
      <c r="H74" s="50">
        <v>1.0</v>
      </c>
      <c r="I74" s="50">
        <v>9.0</v>
      </c>
      <c r="J74" s="50">
        <v>17.0</v>
      </c>
      <c r="K74" s="50">
        <v>2.0</v>
      </c>
      <c r="L74" s="50">
        <v>108.0</v>
      </c>
      <c r="M74" s="281">
        <v>0.0735</v>
      </c>
      <c r="N74" s="266">
        <v>0.97</v>
      </c>
      <c r="O74" s="266">
        <v>1.32</v>
      </c>
      <c r="P74" s="266">
        <v>71.09</v>
      </c>
    </row>
    <row r="75">
      <c r="A75" s="202" t="s">
        <v>130</v>
      </c>
      <c r="B75" s="15"/>
      <c r="C75" s="17"/>
      <c r="D75" s="216">
        <f>SUM(D52:D74)</f>
        <v>2600.01</v>
      </c>
      <c r="E75" s="280">
        <v>30828.0</v>
      </c>
      <c r="F75" s="280">
        <v>3146.0</v>
      </c>
      <c r="G75" s="280">
        <v>1346.0</v>
      </c>
      <c r="H75" s="203">
        <v>38.0</v>
      </c>
      <c r="I75" s="203">
        <v>193.0</v>
      </c>
      <c r="J75" s="203">
        <v>109.0</v>
      </c>
      <c r="K75" s="203">
        <v>216.0</v>
      </c>
      <c r="L75" s="280">
        <v>1902.0</v>
      </c>
      <c r="M75" s="289">
        <v>0.1021</v>
      </c>
      <c r="N75" s="279">
        <v>0.83</v>
      </c>
      <c r="O75" s="279">
        <v>1.37</v>
      </c>
      <c r="P75" s="279">
        <v>84.31</v>
      </c>
    </row>
    <row r="76">
      <c r="A76" s="186" t="s">
        <v>142</v>
      </c>
      <c r="B76" s="265">
        <v>46235.0</v>
      </c>
      <c r="C76" s="50" t="s">
        <v>198</v>
      </c>
      <c r="D76" s="266">
        <v>148.74</v>
      </c>
      <c r="E76" s="151">
        <v>2204.0</v>
      </c>
      <c r="F76" s="151">
        <v>168.0</v>
      </c>
      <c r="G76" s="151">
        <v>92.0</v>
      </c>
      <c r="H76" s="151">
        <v>0.0</v>
      </c>
      <c r="I76" s="151">
        <v>18.0</v>
      </c>
      <c r="J76" s="151">
        <v>13.0</v>
      </c>
      <c r="K76" s="290">
        <v>3.0</v>
      </c>
      <c r="L76" s="290">
        <v>126.0</v>
      </c>
      <c r="M76" s="281">
        <v>0.0762</v>
      </c>
      <c r="N76" s="266">
        <v>0.89</v>
      </c>
      <c r="O76" s="266">
        <v>1.18</v>
      </c>
      <c r="P76" s="266">
        <v>67.49</v>
      </c>
    </row>
    <row r="77">
      <c r="A77" s="186" t="s">
        <v>143</v>
      </c>
      <c r="B77" s="265">
        <v>46237.0</v>
      </c>
      <c r="C77" s="50" t="s">
        <v>198</v>
      </c>
      <c r="D77" s="266">
        <v>453.42</v>
      </c>
      <c r="E77" s="151">
        <v>3829.0</v>
      </c>
      <c r="F77" s="151">
        <v>373.0</v>
      </c>
      <c r="G77" s="151">
        <v>297.0</v>
      </c>
      <c r="H77" s="290">
        <v>1.0</v>
      </c>
      <c r="I77" s="290">
        <v>50.0</v>
      </c>
      <c r="J77" s="290">
        <v>12.0</v>
      </c>
      <c r="K77" s="290">
        <v>52.0</v>
      </c>
      <c r="L77" s="290">
        <v>412.0</v>
      </c>
      <c r="M77" s="281">
        <v>0.0974</v>
      </c>
      <c r="N77" s="266">
        <v>1.22</v>
      </c>
      <c r="O77" s="266">
        <v>1.1</v>
      </c>
      <c r="P77" s="266">
        <v>118.42</v>
      </c>
    </row>
    <row r="78">
      <c r="A78" s="186" t="s">
        <v>145</v>
      </c>
      <c r="B78" s="265">
        <v>46241.0</v>
      </c>
      <c r="C78" s="50" t="s">
        <v>198</v>
      </c>
      <c r="D78" s="266">
        <v>435.29</v>
      </c>
      <c r="E78" s="151">
        <v>6101.0</v>
      </c>
      <c r="F78" s="151">
        <v>548.0</v>
      </c>
      <c r="G78" s="151">
        <v>362.0</v>
      </c>
      <c r="H78" s="290">
        <v>7.0</v>
      </c>
      <c r="I78" s="290">
        <v>45.0</v>
      </c>
      <c r="J78" s="290">
        <v>18.0</v>
      </c>
      <c r="K78" s="290">
        <v>64.0</v>
      </c>
      <c r="L78" s="290">
        <v>496.0</v>
      </c>
      <c r="M78" s="281">
        <v>0.0898</v>
      </c>
      <c r="N78" s="266">
        <v>0.79</v>
      </c>
      <c r="O78" s="266">
        <v>0.88</v>
      </c>
      <c r="P78" s="266">
        <v>71.35</v>
      </c>
    </row>
    <row r="79">
      <c r="A79" s="186" t="s">
        <v>134</v>
      </c>
      <c r="B79" s="265">
        <v>46246.0</v>
      </c>
      <c r="C79" s="50" t="s">
        <v>198</v>
      </c>
      <c r="D79" s="266">
        <v>303.48</v>
      </c>
      <c r="E79" s="151">
        <v>7156.0</v>
      </c>
      <c r="F79" s="151">
        <v>610.0</v>
      </c>
      <c r="G79" s="151">
        <v>68.0</v>
      </c>
      <c r="H79" s="290">
        <v>0.0</v>
      </c>
      <c r="I79" s="290">
        <v>37.0</v>
      </c>
      <c r="J79" s="290">
        <v>6.0</v>
      </c>
      <c r="K79" s="290">
        <v>25.0</v>
      </c>
      <c r="L79" s="290">
        <v>136.0</v>
      </c>
      <c r="M79" s="281">
        <v>0.0852</v>
      </c>
      <c r="N79" s="266">
        <v>0.5</v>
      </c>
      <c r="O79" s="266">
        <v>2.23</v>
      </c>
      <c r="P79" s="266">
        <v>42.41</v>
      </c>
    </row>
    <row r="80">
      <c r="A80" s="186" t="s">
        <v>146</v>
      </c>
      <c r="B80" s="265">
        <v>46254.0</v>
      </c>
      <c r="C80" s="50" t="s">
        <v>198</v>
      </c>
      <c r="D80" s="266">
        <v>464.9</v>
      </c>
      <c r="E80" s="151">
        <v>4041.0</v>
      </c>
      <c r="F80" s="151">
        <v>300.0</v>
      </c>
      <c r="G80" s="151">
        <v>219.0</v>
      </c>
      <c r="H80" s="290">
        <v>1.0</v>
      </c>
      <c r="I80" s="290">
        <v>55.0</v>
      </c>
      <c r="J80" s="290">
        <v>16.0</v>
      </c>
      <c r="K80" s="290">
        <v>14.0</v>
      </c>
      <c r="L80" s="290">
        <v>305.0</v>
      </c>
      <c r="M80" s="281">
        <v>0.0742</v>
      </c>
      <c r="N80" s="266">
        <v>1.55</v>
      </c>
      <c r="O80" s="266">
        <v>1.52</v>
      </c>
      <c r="P80" s="266">
        <v>115.05</v>
      </c>
    </row>
    <row r="81">
      <c r="A81" s="186" t="s">
        <v>139</v>
      </c>
      <c r="B81" s="265">
        <v>46263.0</v>
      </c>
      <c r="C81" s="50" t="s">
        <v>198</v>
      </c>
      <c r="D81" s="266">
        <v>206.81</v>
      </c>
      <c r="E81" s="151">
        <v>4623.0</v>
      </c>
      <c r="F81" s="151">
        <v>335.0</v>
      </c>
      <c r="G81" s="151">
        <v>26.0</v>
      </c>
      <c r="H81" s="290">
        <v>0.0</v>
      </c>
      <c r="I81" s="290">
        <v>25.0</v>
      </c>
      <c r="J81" s="290">
        <v>2.0</v>
      </c>
      <c r="K81" s="290">
        <v>4.0</v>
      </c>
      <c r="L81" s="290">
        <v>57.0</v>
      </c>
      <c r="M81" s="281">
        <v>0.0725</v>
      </c>
      <c r="N81" s="266">
        <v>0.62</v>
      </c>
      <c r="O81" s="266">
        <v>3.63</v>
      </c>
      <c r="P81" s="266">
        <v>44.74</v>
      </c>
    </row>
    <row r="82">
      <c r="A82" s="202" t="s">
        <v>141</v>
      </c>
      <c r="B82" s="15"/>
      <c r="C82" s="17"/>
      <c r="D82" s="291">
        <f t="shared" ref="D82:L82" si="19">SUM(D76:D81)</f>
        <v>2012.64</v>
      </c>
      <c r="E82" s="292">
        <f t="shared" si="19"/>
        <v>27954</v>
      </c>
      <c r="F82" s="292">
        <f t="shared" si="19"/>
        <v>2334</v>
      </c>
      <c r="G82" s="292">
        <f t="shared" si="19"/>
        <v>1064</v>
      </c>
      <c r="H82" s="292">
        <f t="shared" si="19"/>
        <v>9</v>
      </c>
      <c r="I82" s="292">
        <f t="shared" si="19"/>
        <v>230</v>
      </c>
      <c r="J82" s="292">
        <f t="shared" si="19"/>
        <v>67</v>
      </c>
      <c r="K82" s="293">
        <f t="shared" si="19"/>
        <v>162</v>
      </c>
      <c r="L82" s="293">
        <f t="shared" si="19"/>
        <v>1532</v>
      </c>
      <c r="M82" s="294">
        <f>F82/E82</f>
        <v>0.08349431208</v>
      </c>
      <c r="N82" s="279">
        <f>D82/F82</f>
        <v>0.8623136247</v>
      </c>
      <c r="O82" s="291">
        <f>D82/L82</f>
        <v>1.313733681</v>
      </c>
      <c r="P82" s="291">
        <f>D82/E82*1000</f>
        <v>71.99828289</v>
      </c>
    </row>
  </sheetData>
  <mergeCells count="8">
    <mergeCell ref="A6:C6"/>
    <mergeCell ref="A14:C14"/>
    <mergeCell ref="A20:C20"/>
    <mergeCell ref="A29:C29"/>
    <mergeCell ref="A34:C34"/>
    <mergeCell ref="A51:C51"/>
    <mergeCell ref="A75:C75"/>
    <mergeCell ref="A82:C8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 outlineLevelCol="1" outlineLevelRow="1"/>
  <cols>
    <col customWidth="1" min="1" max="1" width="35.5"/>
    <col customWidth="1" min="2" max="2" width="11.13"/>
    <col customWidth="1" min="3" max="3" width="13.38"/>
    <col customWidth="1" min="4" max="6" width="10.75"/>
    <col customWidth="1" min="7" max="10" width="10.75" outlineLevel="1"/>
    <col customWidth="1" min="11" max="11" width="13.63"/>
    <col customWidth="1" min="12" max="15" width="10.75"/>
    <col customWidth="1" min="18" max="18" width="14.75"/>
  </cols>
  <sheetData>
    <row r="1" ht="41.25" customHeight="1">
      <c r="A1" s="225" t="s">
        <v>189</v>
      </c>
      <c r="B1" s="225" t="s">
        <v>169</v>
      </c>
      <c r="C1" s="225" t="s">
        <v>170</v>
      </c>
      <c r="D1" s="226" t="s">
        <v>171</v>
      </c>
      <c r="E1" s="225" t="s">
        <v>175</v>
      </c>
      <c r="F1" s="227" t="s">
        <v>199</v>
      </c>
      <c r="G1" s="225" t="s">
        <v>172</v>
      </c>
      <c r="H1" s="225" t="s">
        <v>7</v>
      </c>
      <c r="I1" s="225" t="s">
        <v>14</v>
      </c>
      <c r="J1" s="225" t="s">
        <v>173</v>
      </c>
      <c r="K1" s="227" t="s">
        <v>191</v>
      </c>
      <c r="L1" s="227" t="s">
        <v>192</v>
      </c>
      <c r="M1" s="227" t="s">
        <v>193</v>
      </c>
      <c r="N1" s="228" t="s">
        <v>194</v>
      </c>
      <c r="O1" s="228" t="s">
        <v>195</v>
      </c>
      <c r="P1" s="135"/>
      <c r="Q1" s="135"/>
      <c r="R1" s="229" t="s">
        <v>196</v>
      </c>
      <c r="S1" s="135"/>
      <c r="T1" s="135"/>
      <c r="U1" s="135"/>
      <c r="V1" s="135"/>
      <c r="W1" s="135"/>
      <c r="X1" s="135"/>
      <c r="Y1" s="135"/>
    </row>
    <row r="2" outlineLevel="1">
      <c r="A2" s="235" t="s">
        <v>114</v>
      </c>
      <c r="B2" s="231">
        <v>46188.0</v>
      </c>
      <c r="C2" s="232" t="s">
        <v>200</v>
      </c>
      <c r="D2" s="233">
        <v>75.0</v>
      </c>
      <c r="E2" s="139">
        <v>1735.0</v>
      </c>
      <c r="F2" s="139">
        <v>266.0</v>
      </c>
      <c r="G2" s="139">
        <v>76.0</v>
      </c>
      <c r="H2" s="139">
        <v>0.0</v>
      </c>
      <c r="I2" s="139">
        <v>6.0</v>
      </c>
      <c r="J2" s="139">
        <v>3.0</v>
      </c>
      <c r="K2" s="139">
        <f t="shared" ref="K2:K3" si="1">SUM(G2:J2)</f>
        <v>85</v>
      </c>
      <c r="L2" s="56">
        <f t="shared" ref="L2:L3" si="2">K2/F2</f>
        <v>0.3195488722</v>
      </c>
      <c r="M2" s="240">
        <f t="shared" ref="M2:M8" si="3">D2/F2</f>
        <v>0.2819548872</v>
      </c>
      <c r="N2" s="240">
        <f t="shared" ref="N2:N8" si="4">D2/K2</f>
        <v>0.8823529412</v>
      </c>
      <c r="O2" s="237">
        <f t="shared" ref="O2:O8" si="5">D2/E2*1000</f>
        <v>43.22766571</v>
      </c>
      <c r="P2" s="135"/>
      <c r="Q2" s="135"/>
      <c r="R2" s="241" t="s">
        <v>201</v>
      </c>
      <c r="S2" s="135"/>
      <c r="T2" s="135"/>
      <c r="U2" s="135"/>
      <c r="V2" s="135"/>
      <c r="W2" s="135"/>
      <c r="X2" s="135"/>
      <c r="Y2" s="135"/>
    </row>
    <row r="3" outlineLevel="1">
      <c r="A3" s="242" t="s">
        <v>126</v>
      </c>
      <c r="B3" s="231">
        <v>46196.0</v>
      </c>
      <c r="C3" s="232" t="s">
        <v>200</v>
      </c>
      <c r="D3" s="233">
        <v>75.0</v>
      </c>
      <c r="E3" s="139">
        <v>2180.0</v>
      </c>
      <c r="F3" s="139">
        <v>248.0</v>
      </c>
      <c r="G3" s="139">
        <v>124.0</v>
      </c>
      <c r="H3" s="139">
        <v>3.0</v>
      </c>
      <c r="I3" s="139">
        <v>20.0</v>
      </c>
      <c r="J3" s="139">
        <v>5.0</v>
      </c>
      <c r="K3" s="139">
        <f t="shared" si="1"/>
        <v>152</v>
      </c>
      <c r="L3" s="56">
        <f t="shared" si="2"/>
        <v>0.6129032258</v>
      </c>
      <c r="M3" s="240">
        <f t="shared" si="3"/>
        <v>0.3024193548</v>
      </c>
      <c r="N3" s="240">
        <f t="shared" si="4"/>
        <v>0.4934210526</v>
      </c>
      <c r="O3" s="240">
        <f t="shared" si="5"/>
        <v>34.40366972</v>
      </c>
      <c r="P3" s="135"/>
      <c r="Q3" s="135"/>
      <c r="R3" s="135"/>
      <c r="S3" s="135"/>
      <c r="T3" s="135"/>
      <c r="U3" s="135"/>
      <c r="V3" s="135"/>
      <c r="W3" s="135"/>
      <c r="X3" s="135"/>
      <c r="Y3" s="135"/>
    </row>
    <row r="4" ht="28.5" customHeight="1" outlineLevel="1">
      <c r="A4" s="244" t="s">
        <v>164</v>
      </c>
      <c r="B4" s="15"/>
      <c r="C4" s="17"/>
      <c r="D4" s="247">
        <f>SUM(D2:D3)</f>
        <v>150</v>
      </c>
      <c r="E4" s="181">
        <f t="shared" ref="E4:K4" si="6">sum(E2:E3)</f>
        <v>3915</v>
      </c>
      <c r="F4" s="181">
        <f t="shared" si="6"/>
        <v>514</v>
      </c>
      <c r="G4" s="181">
        <f t="shared" si="6"/>
        <v>200</v>
      </c>
      <c r="H4" s="181">
        <f t="shared" si="6"/>
        <v>3</v>
      </c>
      <c r="I4" s="181">
        <f t="shared" si="6"/>
        <v>26</v>
      </c>
      <c r="J4" s="181">
        <f t="shared" si="6"/>
        <v>8</v>
      </c>
      <c r="K4" s="181">
        <f t="shared" si="6"/>
        <v>237</v>
      </c>
      <c r="L4" s="248">
        <f t="shared" ref="L4:L8" si="7">F4/E4</f>
        <v>0.1312899106</v>
      </c>
      <c r="M4" s="247">
        <f t="shared" si="3"/>
        <v>0.2918287938</v>
      </c>
      <c r="N4" s="249">
        <f t="shared" si="4"/>
        <v>0.6329113924</v>
      </c>
      <c r="O4" s="250">
        <f t="shared" si="5"/>
        <v>38.31417625</v>
      </c>
      <c r="P4" s="135"/>
      <c r="Q4" s="135"/>
      <c r="R4" s="135"/>
      <c r="S4" s="135"/>
      <c r="T4" s="135"/>
      <c r="U4" s="135"/>
      <c r="V4" s="135"/>
      <c r="W4" s="135"/>
      <c r="X4" s="135"/>
      <c r="Y4" s="135"/>
    </row>
    <row r="5">
      <c r="A5" s="50" t="s">
        <v>133</v>
      </c>
      <c r="B5" s="231">
        <v>46209.0</v>
      </c>
      <c r="C5" s="50" t="s">
        <v>200</v>
      </c>
      <c r="D5" s="233">
        <v>150.0</v>
      </c>
      <c r="E5" s="139">
        <v>1259.0</v>
      </c>
      <c r="F5" s="139">
        <v>97.0</v>
      </c>
      <c r="G5" s="50">
        <v>9.0</v>
      </c>
      <c r="H5" s="50">
        <v>0.0</v>
      </c>
      <c r="I5" s="50">
        <v>6.0</v>
      </c>
      <c r="J5" s="50">
        <v>1.0</v>
      </c>
      <c r="K5" s="139">
        <f t="shared" ref="K5:K6" si="8">SUM(G5:J5)</f>
        <v>16</v>
      </c>
      <c r="L5" s="56">
        <f t="shared" si="7"/>
        <v>0.07704527403</v>
      </c>
      <c r="M5" s="240">
        <f t="shared" si="3"/>
        <v>1.546391753</v>
      </c>
      <c r="N5" s="240">
        <f t="shared" si="4"/>
        <v>9.375</v>
      </c>
      <c r="O5" s="240">
        <f t="shared" si="5"/>
        <v>119.1421763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</row>
    <row r="6">
      <c r="A6" s="50" t="s">
        <v>133</v>
      </c>
      <c r="B6" s="231">
        <v>46209.0</v>
      </c>
      <c r="C6" s="50" t="s">
        <v>200</v>
      </c>
      <c r="D6" s="233">
        <v>150.0</v>
      </c>
      <c r="E6" s="139">
        <v>1164.0</v>
      </c>
      <c r="F6" s="139">
        <v>111.0</v>
      </c>
      <c r="G6" s="50">
        <v>18.0</v>
      </c>
      <c r="H6" s="50">
        <v>0.0</v>
      </c>
      <c r="I6" s="50">
        <v>11.0</v>
      </c>
      <c r="J6" s="50">
        <v>1.0</v>
      </c>
      <c r="K6" s="139">
        <f t="shared" si="8"/>
        <v>30</v>
      </c>
      <c r="L6" s="56">
        <f t="shared" si="7"/>
        <v>0.09536082474</v>
      </c>
      <c r="M6" s="240">
        <f t="shared" si="3"/>
        <v>1.351351351</v>
      </c>
      <c r="N6" s="240">
        <f t="shared" si="4"/>
        <v>5</v>
      </c>
      <c r="O6" s="240">
        <f t="shared" si="5"/>
        <v>128.8659794</v>
      </c>
      <c r="P6" s="135"/>
      <c r="Q6" s="135"/>
      <c r="R6" s="135"/>
      <c r="S6" s="135"/>
      <c r="T6" s="135"/>
      <c r="U6" s="135"/>
      <c r="V6" s="135"/>
      <c r="W6" s="135"/>
      <c r="X6" s="135"/>
      <c r="Y6" s="135"/>
    </row>
    <row r="7">
      <c r="A7" s="50" t="s">
        <v>133</v>
      </c>
      <c r="B7" s="231">
        <v>46219.0</v>
      </c>
      <c r="C7" s="50" t="s">
        <v>200</v>
      </c>
      <c r="D7" s="233">
        <v>75.0</v>
      </c>
      <c r="E7" s="139">
        <v>732.0</v>
      </c>
      <c r="F7" s="139">
        <v>50.0</v>
      </c>
      <c r="G7" s="50">
        <v>14.0</v>
      </c>
      <c r="H7" s="50">
        <v>0.0</v>
      </c>
      <c r="I7" s="50">
        <v>2.0</v>
      </c>
      <c r="J7" s="50">
        <v>1.0</v>
      </c>
      <c r="K7" s="54">
        <f>G7+H7+I7+J7</f>
        <v>17</v>
      </c>
      <c r="L7" s="56">
        <f t="shared" si="7"/>
        <v>0.06830601093</v>
      </c>
      <c r="M7" s="240">
        <f t="shared" si="3"/>
        <v>1.5</v>
      </c>
      <c r="N7" s="240">
        <f t="shared" si="4"/>
        <v>4.411764706</v>
      </c>
      <c r="O7" s="240">
        <f t="shared" si="5"/>
        <v>102.4590164</v>
      </c>
      <c r="P7" s="135"/>
      <c r="Q7" s="135"/>
      <c r="R7" s="135"/>
      <c r="S7" s="135"/>
      <c r="T7" s="135"/>
      <c r="U7" s="135"/>
      <c r="V7" s="135"/>
      <c r="W7" s="135"/>
      <c r="X7" s="135"/>
      <c r="Y7" s="135"/>
    </row>
    <row r="8" ht="27.75" customHeight="1">
      <c r="A8" s="244" t="s">
        <v>130</v>
      </c>
      <c r="B8" s="15"/>
      <c r="C8" s="17"/>
      <c r="D8" s="254">
        <f t="shared" ref="D8:K8" si="9">SUM(D5:D7)</f>
        <v>375</v>
      </c>
      <c r="E8" s="194">
        <f t="shared" si="9"/>
        <v>3155</v>
      </c>
      <c r="F8" s="194">
        <f t="shared" si="9"/>
        <v>258</v>
      </c>
      <c r="G8" s="255">
        <f t="shared" si="9"/>
        <v>41</v>
      </c>
      <c r="H8" s="255">
        <f t="shared" si="9"/>
        <v>0</v>
      </c>
      <c r="I8" s="255">
        <f t="shared" si="9"/>
        <v>19</v>
      </c>
      <c r="J8" s="255">
        <f t="shared" si="9"/>
        <v>3</v>
      </c>
      <c r="K8" s="256">
        <f t="shared" si="9"/>
        <v>63</v>
      </c>
      <c r="L8" s="257">
        <f t="shared" si="7"/>
        <v>0.08177496038</v>
      </c>
      <c r="M8" s="254">
        <f t="shared" si="3"/>
        <v>1.453488372</v>
      </c>
      <c r="N8" s="254">
        <f t="shared" si="4"/>
        <v>5.952380952</v>
      </c>
      <c r="O8" s="254">
        <f t="shared" si="5"/>
        <v>118.858954</v>
      </c>
      <c r="P8" s="258"/>
      <c r="Q8" s="258"/>
      <c r="R8" s="258"/>
      <c r="S8" s="258"/>
      <c r="T8" s="258"/>
      <c r="U8" s="258"/>
      <c r="V8" s="258"/>
      <c r="W8" s="258"/>
      <c r="X8" s="258"/>
      <c r="Y8" s="258"/>
    </row>
    <row r="9">
      <c r="A9" s="135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</row>
    <row r="10">
      <c r="A10" s="135"/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</row>
    <row r="11">
      <c r="A11" s="135"/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  <c r="Y11" s="135"/>
    </row>
    <row r="12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</row>
    <row r="13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</row>
    <row r="14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</row>
    <row r="15">
      <c r="A15" s="135"/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</row>
    <row r="16">
      <c r="A16" s="135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  <c r="Y16" s="135"/>
    </row>
    <row r="17">
      <c r="A17" s="135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</row>
    <row r="18">
      <c r="A18" s="135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</row>
    <row r="19">
      <c r="A19" s="135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</row>
    <row r="20">
      <c r="A20" s="135"/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</row>
    <row r="21">
      <c r="A21" s="135"/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</row>
    <row r="22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</row>
    <row r="23">
      <c r="A23" s="135"/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</row>
    <row r="24">
      <c r="A24" s="135"/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</row>
    <row r="25">
      <c r="A25" s="135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</row>
    <row r="26">
      <c r="A26" s="135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</row>
    <row r="27">
      <c r="A27" s="135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</row>
    <row r="28">
      <c r="A28" s="135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  <c r="Y28" s="135"/>
    </row>
    <row r="29">
      <c r="A29" s="135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</row>
    <row r="30">
      <c r="A30" s="135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</row>
    <row r="31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</row>
    <row r="32">
      <c r="A32" s="135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</row>
    <row r="33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</row>
    <row r="34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</row>
    <row r="35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</row>
    <row r="36">
      <c r="A36" s="135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</row>
    <row r="37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</row>
    <row r="38">
      <c r="A38" s="135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</row>
    <row r="39">
      <c r="A39" s="135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</row>
    <row r="40">
      <c r="A40" s="135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</row>
    <row r="41">
      <c r="A41" s="135"/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</row>
    <row r="42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</row>
    <row r="43">
      <c r="A43" s="135"/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</row>
    <row r="44">
      <c r="A44" s="135"/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</row>
    <row r="45">
      <c r="A45" s="135"/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</row>
    <row r="46">
      <c r="A46" s="135"/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</row>
    <row r="47">
      <c r="A47" s="135"/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</row>
    <row r="48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</row>
    <row r="49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</row>
    <row r="50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</row>
    <row r="5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</row>
    <row r="52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</row>
    <row r="53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</row>
    <row r="54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</row>
    <row r="55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</row>
    <row r="56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</row>
    <row r="57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</row>
    <row r="58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</row>
    <row r="59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</row>
    <row r="60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</row>
    <row r="6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</row>
    <row r="62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</row>
    <row r="63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</row>
    <row r="64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</row>
    <row r="65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</row>
    <row r="66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</row>
    <row r="67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</row>
    <row r="68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</row>
    <row r="69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</row>
    <row r="70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</row>
    <row r="7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</row>
    <row r="72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</row>
    <row r="73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</row>
    <row r="74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</row>
    <row r="75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</row>
    <row r="76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</row>
    <row r="77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</row>
    <row r="78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</row>
    <row r="79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</row>
    <row r="80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</row>
    <row r="8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</row>
    <row r="82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</row>
    <row r="83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</row>
    <row r="84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</row>
    <row r="85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</row>
    <row r="86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</row>
    <row r="87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</row>
    <row r="88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</row>
    <row r="89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</row>
    <row r="90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</row>
    <row r="9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</row>
    <row r="92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</row>
    <row r="93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</row>
    <row r="94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</row>
    <row r="95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</row>
    <row r="96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</row>
    <row r="97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</row>
    <row r="98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</row>
    <row r="99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</row>
    <row r="100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</row>
    <row r="101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</row>
    <row r="102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</row>
    <row r="103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</row>
    <row r="104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</row>
    <row r="105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</row>
    <row r="106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</row>
    <row r="107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</row>
    <row r="108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</row>
    <row r="109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</row>
    <row r="110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</row>
    <row r="111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</row>
    <row r="112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</row>
    <row r="113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</row>
    <row r="114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</row>
    <row r="115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</row>
    <row r="116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</row>
    <row r="117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</row>
    <row r="118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</row>
    <row r="119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</row>
    <row r="120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</row>
    <row r="121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</row>
    <row r="122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</row>
    <row r="123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</row>
    <row r="124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</row>
    <row r="125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</row>
    <row r="126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</row>
    <row r="127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</row>
    <row r="128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</row>
    <row r="129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</row>
    <row r="130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</row>
    <row r="131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</row>
    <row r="132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</row>
    <row r="133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</row>
    <row r="134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</row>
    <row r="135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</row>
    <row r="136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</row>
    <row r="137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</row>
    <row r="138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</row>
    <row r="139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</row>
    <row r="140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</row>
    <row r="14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</row>
    <row r="142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</row>
    <row r="143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</row>
    <row r="144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</row>
    <row r="145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</row>
    <row r="146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</row>
    <row r="147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</row>
    <row r="148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</row>
    <row r="149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</row>
    <row r="150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</row>
    <row r="15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</row>
    <row r="152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</row>
    <row r="153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</row>
    <row r="154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</row>
    <row r="155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</row>
    <row r="156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</row>
    <row r="157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</row>
    <row r="158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</row>
    <row r="159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</row>
    <row r="160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</row>
    <row r="16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</row>
    <row r="162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</row>
    <row r="163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</row>
    <row r="164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</row>
    <row r="165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</row>
    <row r="166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</row>
    <row r="167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</row>
    <row r="168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</row>
    <row r="169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</row>
    <row r="170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</row>
    <row r="17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</row>
    <row r="172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</row>
    <row r="173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</row>
    <row r="174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</row>
    <row r="175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</row>
    <row r="176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</row>
    <row r="177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</row>
    <row r="178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</row>
    <row r="179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</row>
    <row r="180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</row>
    <row r="18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</row>
    <row r="182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</row>
    <row r="183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</row>
    <row r="184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</row>
    <row r="185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</row>
    <row r="186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</row>
    <row r="187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</row>
    <row r="188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</row>
    <row r="189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</row>
    <row r="190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</row>
    <row r="19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</row>
    <row r="192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</row>
    <row r="193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</row>
    <row r="194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</row>
    <row r="195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</row>
    <row r="196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</row>
    <row r="197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</row>
    <row r="198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</row>
    <row r="199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</row>
    <row r="200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</row>
    <row r="20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</row>
    <row r="202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</row>
    <row r="203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</row>
    <row r="204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</row>
    <row r="205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</row>
    <row r="206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</row>
    <row r="207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</row>
    <row r="208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</row>
    <row r="209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</row>
    <row r="210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</row>
    <row r="21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</row>
    <row r="212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</row>
    <row r="213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</row>
    <row r="214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</row>
    <row r="215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</row>
    <row r="216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</row>
    <row r="217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</row>
    <row r="218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</row>
    <row r="219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</row>
    <row r="220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</row>
    <row r="22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</row>
    <row r="222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</row>
    <row r="223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</row>
    <row r="224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</row>
    <row r="225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</row>
    <row r="226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</row>
    <row r="227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</row>
    <row r="228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</row>
    <row r="229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</row>
    <row r="230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</row>
    <row r="23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</row>
    <row r="232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</row>
    <row r="233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</row>
    <row r="234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</row>
    <row r="235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</row>
    <row r="236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</row>
    <row r="237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</row>
    <row r="238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</row>
    <row r="239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</row>
    <row r="240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</row>
    <row r="241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</row>
    <row r="242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</row>
    <row r="243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</row>
    <row r="244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</row>
    <row r="245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</row>
    <row r="246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</row>
    <row r="247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</row>
    <row r="248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</row>
    <row r="249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</row>
    <row r="250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</row>
    <row r="251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</row>
    <row r="252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</row>
    <row r="253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</row>
    <row r="254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</row>
    <row r="255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</row>
    <row r="256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</row>
    <row r="257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</row>
    <row r="258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</row>
    <row r="259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</row>
    <row r="260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</row>
    <row r="261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</row>
    <row r="262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</row>
    <row r="263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</row>
    <row r="264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</row>
    <row r="265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</row>
    <row r="266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</row>
    <row r="267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</row>
    <row r="268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</row>
    <row r="269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</row>
    <row r="270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</row>
    <row r="271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</row>
    <row r="272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</row>
    <row r="273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</row>
    <row r="274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</row>
    <row r="275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</row>
    <row r="276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</row>
    <row r="277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</row>
    <row r="278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</row>
    <row r="279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</row>
    <row r="280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</row>
    <row r="281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</row>
    <row r="282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</row>
    <row r="283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</row>
    <row r="284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</row>
    <row r="285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</row>
    <row r="286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</row>
    <row r="287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</row>
    <row r="288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</row>
    <row r="289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</row>
    <row r="290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</row>
    <row r="291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</row>
    <row r="292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</row>
    <row r="293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</row>
    <row r="294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</row>
    <row r="295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</row>
    <row r="296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</row>
    <row r="297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</row>
    <row r="298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</row>
    <row r="299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</row>
    <row r="300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</row>
    <row r="301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</row>
    <row r="302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</row>
    <row r="303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</row>
    <row r="304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</row>
    <row r="305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</row>
    <row r="306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</row>
    <row r="307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</row>
    <row r="308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</row>
    <row r="309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</row>
    <row r="310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</row>
    <row r="311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</row>
    <row r="312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</row>
    <row r="313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</row>
    <row r="314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</row>
    <row r="315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</row>
    <row r="316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</row>
    <row r="317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</row>
    <row r="318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</row>
    <row r="319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</row>
    <row r="320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</row>
    <row r="321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</row>
    <row r="322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</row>
    <row r="323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</row>
    <row r="324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</row>
    <row r="325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</row>
    <row r="326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</row>
    <row r="327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</row>
    <row r="328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</row>
    <row r="329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</row>
    <row r="330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</row>
    <row r="331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</row>
    <row r="332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</row>
    <row r="333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</row>
    <row r="334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</row>
    <row r="335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</row>
    <row r="336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</row>
    <row r="337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</row>
    <row r="338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</row>
    <row r="339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</row>
    <row r="340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</row>
    <row r="341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</row>
    <row r="342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</row>
    <row r="343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</row>
    <row r="344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</row>
    <row r="345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</row>
    <row r="346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</row>
    <row r="347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</row>
    <row r="348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</row>
    <row r="349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</row>
    <row r="350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</row>
    <row r="351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</row>
    <row r="352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</row>
    <row r="353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</row>
    <row r="354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</row>
    <row r="355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</row>
    <row r="356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</row>
    <row r="357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</row>
    <row r="358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</row>
    <row r="359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</row>
    <row r="360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</row>
    <row r="361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</row>
    <row r="362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</row>
    <row r="363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</row>
    <row r="364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</row>
    <row r="365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</row>
    <row r="366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</row>
    <row r="367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</row>
    <row r="368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</row>
    <row r="369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</row>
    <row r="370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</row>
    <row r="371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</row>
    <row r="372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</row>
    <row r="373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</row>
    <row r="374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</row>
    <row r="375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</row>
    <row r="376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</row>
    <row r="377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</row>
    <row r="378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</row>
    <row r="379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</row>
    <row r="380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</row>
    <row r="381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</row>
    <row r="382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</row>
    <row r="383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</row>
    <row r="384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</row>
    <row r="385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</row>
    <row r="386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</row>
    <row r="387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</row>
    <row r="388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</row>
    <row r="389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</row>
    <row r="390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</row>
    <row r="391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</row>
    <row r="392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</row>
    <row r="393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</row>
    <row r="394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</row>
    <row r="395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</row>
    <row r="396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</row>
    <row r="397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</row>
    <row r="398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</row>
    <row r="399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</row>
    <row r="400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</row>
    <row r="401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</row>
    <row r="402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</row>
    <row r="403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</row>
    <row r="404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</row>
    <row r="405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</row>
    <row r="406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</row>
    <row r="407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</row>
    <row r="408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</row>
    <row r="409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</row>
    <row r="410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</row>
    <row r="411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</row>
    <row r="412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</row>
    <row r="413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</row>
    <row r="414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</row>
    <row r="415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</row>
    <row r="416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</row>
    <row r="417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</row>
    <row r="418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</row>
    <row r="419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</row>
    <row r="420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</row>
    <row r="421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</row>
    <row r="422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</row>
    <row r="423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</row>
    <row r="424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</row>
    <row r="425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</row>
    <row r="426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</row>
    <row r="427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</row>
    <row r="428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</row>
    <row r="429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</row>
    <row r="430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</row>
    <row r="431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</row>
    <row r="432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</row>
    <row r="433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</row>
    <row r="434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</row>
    <row r="435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</row>
    <row r="436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</row>
    <row r="437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</row>
    <row r="438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</row>
    <row r="439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</row>
    <row r="440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</row>
    <row r="441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</row>
    <row r="442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</row>
    <row r="443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</row>
    <row r="444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</row>
    <row r="445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</row>
    <row r="446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</row>
    <row r="447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</row>
    <row r="448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</row>
    <row r="449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</row>
    <row r="450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</row>
    <row r="451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</row>
    <row r="452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</row>
    <row r="453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</row>
    <row r="454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</row>
    <row r="455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</row>
    <row r="456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</row>
    <row r="457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</row>
    <row r="458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</row>
    <row r="459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</row>
    <row r="460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</row>
    <row r="461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</row>
    <row r="462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</row>
    <row r="463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</row>
    <row r="464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</row>
    <row r="465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</row>
    <row r="466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</row>
    <row r="467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</row>
    <row r="468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</row>
    <row r="469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</row>
    <row r="470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</row>
    <row r="471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</row>
    <row r="472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</row>
    <row r="473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</row>
    <row r="474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</row>
    <row r="475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</row>
    <row r="476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</row>
    <row r="477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</row>
    <row r="478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</row>
    <row r="479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</row>
    <row r="480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</row>
    <row r="481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</row>
    <row r="482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</row>
    <row r="483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</row>
    <row r="484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</row>
    <row r="485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</row>
    <row r="486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</row>
    <row r="487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</row>
    <row r="488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</row>
    <row r="489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</row>
    <row r="490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</row>
    <row r="491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</row>
    <row r="492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</row>
    <row r="493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</row>
    <row r="494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</row>
    <row r="495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</row>
    <row r="496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</row>
    <row r="497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</row>
    <row r="498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</row>
    <row r="499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</row>
    <row r="500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</row>
    <row r="501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</row>
    <row r="502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</row>
    <row r="503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</row>
    <row r="504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</row>
    <row r="505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</row>
    <row r="506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</row>
    <row r="507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</row>
    <row r="508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</row>
    <row r="509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</row>
    <row r="510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</row>
    <row r="511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</row>
    <row r="512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</row>
    <row r="513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</row>
    <row r="514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</row>
    <row r="515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</row>
    <row r="516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</row>
    <row r="517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</row>
    <row r="518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</row>
    <row r="519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</row>
    <row r="520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</row>
    <row r="521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</row>
    <row r="522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</row>
    <row r="523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</row>
    <row r="524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</row>
    <row r="525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</row>
    <row r="526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</row>
    <row r="527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</row>
    <row r="528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</row>
    <row r="529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</row>
    <row r="530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</row>
    <row r="531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</row>
    <row r="532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</row>
    <row r="533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</row>
    <row r="534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</row>
    <row r="535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</row>
    <row r="536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</row>
    <row r="537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</row>
    <row r="538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</row>
    <row r="539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</row>
    <row r="540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</row>
    <row r="541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</row>
    <row r="542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</row>
    <row r="543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</row>
    <row r="544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</row>
    <row r="545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</row>
    <row r="546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</row>
    <row r="547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</row>
    <row r="548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</row>
    <row r="549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</row>
    <row r="550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</row>
    <row r="551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</row>
    <row r="552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</row>
    <row r="553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</row>
    <row r="554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</row>
    <row r="555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</row>
    <row r="556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</row>
    <row r="557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</row>
    <row r="558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</row>
    <row r="559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</row>
    <row r="560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</row>
    <row r="561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</row>
    <row r="562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</row>
    <row r="563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</row>
    <row r="564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</row>
    <row r="565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</row>
    <row r="566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</row>
    <row r="567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</row>
    <row r="568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</row>
    <row r="569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</row>
    <row r="570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</row>
    <row r="571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</row>
    <row r="572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</row>
    <row r="573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</row>
    <row r="574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</row>
    <row r="575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</row>
    <row r="576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</row>
    <row r="577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</row>
    <row r="578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</row>
    <row r="579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</row>
    <row r="580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</row>
    <row r="581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</row>
    <row r="582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</row>
    <row r="583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</row>
    <row r="584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</row>
    <row r="585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</row>
    <row r="586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</row>
    <row r="587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</row>
    <row r="588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</row>
    <row r="589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</row>
    <row r="590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</row>
    <row r="591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</row>
    <row r="592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</row>
    <row r="593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</row>
    <row r="594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</row>
    <row r="595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</row>
    <row r="596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</row>
    <row r="597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</row>
    <row r="598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</row>
    <row r="599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</row>
    <row r="600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</row>
    <row r="601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</row>
    <row r="602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</row>
    <row r="603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</row>
    <row r="604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</row>
    <row r="605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</row>
    <row r="606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</row>
    <row r="607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</row>
    <row r="608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</row>
    <row r="609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</row>
    <row r="610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</row>
    <row r="611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</row>
    <row r="612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</row>
    <row r="613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</row>
    <row r="614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</row>
    <row r="615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</row>
    <row r="616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</row>
    <row r="617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</row>
    <row r="618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</row>
    <row r="619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</row>
    <row r="620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</row>
    <row r="621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</row>
    <row r="622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</row>
    <row r="623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</row>
    <row r="624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</row>
    <row r="625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</row>
    <row r="626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</row>
    <row r="627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</row>
    <row r="628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</row>
    <row r="629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</row>
    <row r="630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</row>
    <row r="631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</row>
    <row r="632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</row>
    <row r="633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</row>
    <row r="634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</row>
    <row r="635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</row>
    <row r="636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</row>
    <row r="637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</row>
    <row r="638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</row>
    <row r="639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</row>
    <row r="640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</row>
    <row r="641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</row>
    <row r="642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</row>
    <row r="643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</row>
    <row r="644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</row>
    <row r="645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</row>
    <row r="646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</row>
    <row r="647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</row>
    <row r="648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</row>
    <row r="649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</row>
    <row r="650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</row>
    <row r="651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</row>
    <row r="652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</row>
    <row r="653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</row>
    <row r="654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</row>
    <row r="655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</row>
    <row r="656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</row>
    <row r="657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</row>
    <row r="658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</row>
    <row r="659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</row>
    <row r="660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</row>
    <row r="661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</row>
    <row r="662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</row>
    <row r="663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</row>
    <row r="664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</row>
    <row r="665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</row>
    <row r="666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</row>
    <row r="667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</row>
    <row r="668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</row>
    <row r="669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</row>
    <row r="670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</row>
    <row r="671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</row>
    <row r="672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</row>
    <row r="673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</row>
    <row r="674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</row>
    <row r="675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</row>
    <row r="676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</row>
    <row r="677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</row>
    <row r="678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</row>
    <row r="679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</row>
    <row r="680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</row>
    <row r="681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</row>
    <row r="682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</row>
    <row r="683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</row>
    <row r="684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</row>
    <row r="685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</row>
    <row r="686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</row>
    <row r="687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</row>
    <row r="688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</row>
    <row r="689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</row>
    <row r="690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</row>
    <row r="691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</row>
    <row r="692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</row>
    <row r="693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</row>
    <row r="694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</row>
    <row r="695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</row>
    <row r="696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</row>
    <row r="697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</row>
    <row r="698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</row>
    <row r="699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</row>
    <row r="700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</row>
    <row r="701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</row>
    <row r="702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</row>
    <row r="703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</row>
    <row r="704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</row>
    <row r="705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</row>
    <row r="706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</row>
    <row r="707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</row>
    <row r="708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</row>
    <row r="709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</row>
    <row r="710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</row>
    <row r="711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</row>
    <row r="712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</row>
    <row r="713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</row>
    <row r="714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</row>
    <row r="715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</row>
    <row r="716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</row>
    <row r="717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</row>
    <row r="718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</row>
    <row r="719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</row>
    <row r="720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</row>
    <row r="721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</row>
    <row r="722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</row>
    <row r="723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</row>
    <row r="724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</row>
    <row r="725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</row>
    <row r="726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</row>
    <row r="727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</row>
    <row r="728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</row>
    <row r="729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</row>
    <row r="730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</row>
    <row r="731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</row>
    <row r="732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</row>
    <row r="733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</row>
    <row r="734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</row>
    <row r="735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</row>
    <row r="736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</row>
    <row r="737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</row>
    <row r="738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</row>
    <row r="739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</row>
    <row r="740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</row>
    <row r="741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</row>
    <row r="742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</row>
    <row r="743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</row>
    <row r="744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</row>
    <row r="745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</row>
    <row r="746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</row>
    <row r="747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</row>
    <row r="748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</row>
    <row r="749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</row>
    <row r="750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</row>
    <row r="751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</row>
    <row r="752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</row>
    <row r="753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</row>
    <row r="754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</row>
    <row r="755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</row>
    <row r="756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</row>
    <row r="757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</row>
    <row r="758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</row>
    <row r="759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</row>
    <row r="760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</row>
    <row r="761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</row>
    <row r="762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</row>
    <row r="763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</row>
    <row r="764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</row>
    <row r="765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</row>
    <row r="766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</row>
    <row r="767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</row>
    <row r="768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</row>
    <row r="769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</row>
    <row r="770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</row>
    <row r="771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</row>
    <row r="772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</row>
    <row r="773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</row>
    <row r="774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</row>
    <row r="775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</row>
    <row r="776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</row>
    <row r="777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</row>
    <row r="778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</row>
    <row r="779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</row>
    <row r="780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</row>
    <row r="781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</row>
    <row r="782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</row>
    <row r="783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</row>
    <row r="784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</row>
    <row r="785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</row>
    <row r="786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</row>
    <row r="787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</row>
    <row r="788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</row>
    <row r="789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</row>
    <row r="790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</row>
    <row r="791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</row>
    <row r="792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</row>
    <row r="793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</row>
    <row r="794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</row>
    <row r="795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</row>
    <row r="796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</row>
    <row r="797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</row>
    <row r="798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</row>
    <row r="799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</row>
    <row r="800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</row>
    <row r="801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</row>
    <row r="802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</row>
    <row r="803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</row>
    <row r="804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</row>
    <row r="805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</row>
    <row r="806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</row>
    <row r="807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</row>
    <row r="808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</row>
    <row r="809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</row>
    <row r="810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</row>
    <row r="811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</row>
    <row r="812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</row>
    <row r="813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</row>
    <row r="814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</row>
    <row r="815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</row>
    <row r="816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</row>
    <row r="817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</row>
    <row r="818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</row>
    <row r="819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</row>
    <row r="820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</row>
    <row r="821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</row>
    <row r="822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</row>
    <row r="823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</row>
    <row r="824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</row>
    <row r="825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</row>
    <row r="826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</row>
    <row r="827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</row>
    <row r="828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</row>
    <row r="829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</row>
    <row r="830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</row>
    <row r="831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</row>
    <row r="832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</row>
  </sheetData>
  <mergeCells count="2">
    <mergeCell ref="A4:C4"/>
    <mergeCell ref="A8:C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23.5"/>
    <col customWidth="1" min="2" max="2" width="15.63"/>
    <col customWidth="1" min="9" max="9" width="20.88"/>
  </cols>
  <sheetData>
    <row r="1">
      <c r="A1" s="272" t="s">
        <v>211</v>
      </c>
      <c r="B1" s="272" t="s">
        <v>212</v>
      </c>
      <c r="E1" s="273"/>
      <c r="F1" s="274"/>
      <c r="I1" s="275" t="s">
        <v>211</v>
      </c>
      <c r="J1" s="272" t="s">
        <v>213</v>
      </c>
    </row>
    <row r="2">
      <c r="A2" s="276" t="s">
        <v>214</v>
      </c>
      <c r="B2" s="276">
        <v>286000.0</v>
      </c>
      <c r="E2" s="274"/>
      <c r="F2" s="277"/>
      <c r="I2" s="276" t="s">
        <v>215</v>
      </c>
      <c r="J2" s="276">
        <v>6300.0</v>
      </c>
    </row>
    <row r="3">
      <c r="A3" s="276" t="s">
        <v>216</v>
      </c>
      <c r="B3" s="276">
        <v>142000.0</v>
      </c>
      <c r="E3" s="274"/>
      <c r="F3" s="277"/>
      <c r="I3" s="276" t="s">
        <v>217</v>
      </c>
      <c r="J3" s="276">
        <v>2606.0</v>
      </c>
    </row>
    <row r="4">
      <c r="A4" s="276" t="s">
        <v>217</v>
      </c>
      <c r="B4" s="276">
        <v>113000.0</v>
      </c>
      <c r="E4" s="274"/>
      <c r="F4" s="277"/>
      <c r="I4" s="276" t="s">
        <v>216</v>
      </c>
      <c r="J4" s="276">
        <v>1598.0</v>
      </c>
    </row>
    <row r="5">
      <c r="A5" s="276" t="s">
        <v>218</v>
      </c>
      <c r="B5" s="276">
        <v>31000.0</v>
      </c>
      <c r="E5" s="274"/>
      <c r="F5" s="277"/>
      <c r="I5" s="276" t="s">
        <v>219</v>
      </c>
      <c r="J5" s="276">
        <v>187.0</v>
      </c>
    </row>
    <row r="6">
      <c r="A6" s="276" t="s">
        <v>220</v>
      </c>
      <c r="B6" s="276">
        <v>24000.0</v>
      </c>
      <c r="E6" s="274"/>
      <c r="F6" s="277"/>
      <c r="I6" s="276" t="s">
        <v>221</v>
      </c>
      <c r="J6" s="276">
        <v>169.0</v>
      </c>
    </row>
    <row r="7">
      <c r="A7" s="276" t="s">
        <v>222</v>
      </c>
      <c r="B7" s="278">
        <v>13000.0</v>
      </c>
      <c r="E7" s="274"/>
      <c r="F7" s="277"/>
      <c r="I7" s="276" t="s">
        <v>222</v>
      </c>
      <c r="J7" s="276">
        <v>138.0</v>
      </c>
    </row>
    <row r="8">
      <c r="A8" s="276" t="s">
        <v>223</v>
      </c>
      <c r="B8" s="276">
        <v>7331.0</v>
      </c>
      <c r="E8" s="274"/>
      <c r="F8" s="277"/>
      <c r="I8" s="276" t="s">
        <v>224</v>
      </c>
      <c r="J8" s="276">
        <v>55.0</v>
      </c>
    </row>
    <row r="9">
      <c r="A9" s="276" t="s">
        <v>225</v>
      </c>
      <c r="B9" s="278">
        <v>5449.0</v>
      </c>
      <c r="E9" s="274"/>
      <c r="F9" s="277"/>
      <c r="I9" s="276" t="s">
        <v>226</v>
      </c>
      <c r="J9" s="276">
        <v>24.0</v>
      </c>
    </row>
    <row r="10">
      <c r="A10" s="276" t="s">
        <v>227</v>
      </c>
      <c r="B10" s="278">
        <v>4628.0</v>
      </c>
      <c r="E10" s="274"/>
      <c r="F10" s="277"/>
      <c r="I10" s="276" t="s">
        <v>218</v>
      </c>
      <c r="J10" s="276">
        <v>42.0</v>
      </c>
    </row>
    <row r="11">
      <c r="A11" s="276" t="s">
        <v>226</v>
      </c>
      <c r="B11" s="276">
        <v>4577.0</v>
      </c>
      <c r="E11" s="274"/>
      <c r="F11" s="277"/>
      <c r="I11" s="276" t="s">
        <v>223</v>
      </c>
      <c r="J11" s="276">
        <v>28.0</v>
      </c>
    </row>
    <row r="14">
      <c r="A14" s="274"/>
    </row>
  </sheetData>
  <mergeCells count="1">
    <mergeCell ref="A14:B1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20.88"/>
    <col customWidth="1" min="2" max="2" width="15.63"/>
    <col customWidth="1" min="4" max="4" width="13.75"/>
  </cols>
  <sheetData>
    <row r="1">
      <c r="A1" s="282" t="s">
        <v>211</v>
      </c>
      <c r="B1" s="282" t="s">
        <v>228</v>
      </c>
      <c r="C1" s="283" t="s">
        <v>229</v>
      </c>
      <c r="D1" s="283" t="s">
        <v>230</v>
      </c>
    </row>
    <row r="2">
      <c r="A2" s="276" t="s">
        <v>231</v>
      </c>
      <c r="B2" s="276">
        <v>29.0</v>
      </c>
      <c r="C2" s="278">
        <v>5443.0</v>
      </c>
      <c r="D2" s="284">
        <v>0.0706</v>
      </c>
    </row>
    <row r="3">
      <c r="A3" s="276" t="s">
        <v>218</v>
      </c>
      <c r="B3" s="276">
        <v>15.0</v>
      </c>
      <c r="C3" s="278">
        <v>27513.0</v>
      </c>
      <c r="D3" s="284">
        <v>0.0472</v>
      </c>
    </row>
    <row r="4">
      <c r="A4" s="276" t="s">
        <v>223</v>
      </c>
      <c r="B4" s="276">
        <v>19.0</v>
      </c>
      <c r="C4" s="278">
        <v>9219.0</v>
      </c>
      <c r="D4" s="284">
        <v>0.0509</v>
      </c>
    </row>
    <row r="5">
      <c r="A5" s="276" t="s">
        <v>232</v>
      </c>
      <c r="B5" s="276">
        <v>8.0</v>
      </c>
      <c r="C5" s="278">
        <v>3661.0</v>
      </c>
      <c r="D5" s="284">
        <v>0.041</v>
      </c>
    </row>
    <row r="6">
      <c r="A6" s="276" t="s">
        <v>214</v>
      </c>
      <c r="B6" s="276">
        <v>31.0</v>
      </c>
      <c r="C6" s="278">
        <v>1716.0</v>
      </c>
      <c r="D6" s="284">
        <v>0.0261</v>
      </c>
    </row>
    <row r="7">
      <c r="A7" s="276" t="s">
        <v>217</v>
      </c>
      <c r="B7" s="276">
        <v>12.0</v>
      </c>
      <c r="C7" s="278">
        <v>1692.0</v>
      </c>
      <c r="D7" s="284">
        <v>0.2583</v>
      </c>
    </row>
    <row r="8">
      <c r="A8" s="276" t="s">
        <v>222</v>
      </c>
      <c r="B8" s="276">
        <v>5.0</v>
      </c>
      <c r="C8" s="278">
        <v>887.0</v>
      </c>
      <c r="D8" s="284">
        <v>0.0965</v>
      </c>
    </row>
    <row r="9">
      <c r="A9" s="276" t="s">
        <v>216</v>
      </c>
      <c r="B9" s="276">
        <v>5.0</v>
      </c>
      <c r="C9" s="278">
        <v>4464.0</v>
      </c>
      <c r="D9" s="284">
        <v>0.1232</v>
      </c>
    </row>
    <row r="10">
      <c r="A10" s="276" t="s">
        <v>227</v>
      </c>
      <c r="B10" s="276">
        <v>11.0</v>
      </c>
      <c r="C10" s="278">
        <v>396.0</v>
      </c>
      <c r="D10" s="284">
        <v>0.0781</v>
      </c>
    </row>
    <row r="11">
      <c r="A11" s="276" t="s">
        <v>226</v>
      </c>
      <c r="B11" s="276">
        <v>6.0</v>
      </c>
      <c r="C11" s="278">
        <v>2801.0</v>
      </c>
      <c r="D11" s="284">
        <v>0.0836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2" max="2" width="15.63"/>
    <col customWidth="1" min="5" max="5" width="20.88"/>
    <col customWidth="1" min="11" max="11" width="20.88"/>
  </cols>
  <sheetData>
    <row r="1">
      <c r="A1" s="274"/>
      <c r="B1" s="274"/>
      <c r="E1" s="275" t="s">
        <v>211</v>
      </c>
      <c r="F1" s="272" t="s">
        <v>234</v>
      </c>
      <c r="G1" s="274"/>
      <c r="J1" s="273"/>
      <c r="K1" s="275" t="s">
        <v>211</v>
      </c>
      <c r="L1" s="272" t="s">
        <v>235</v>
      </c>
    </row>
    <row r="2">
      <c r="A2" s="274"/>
      <c r="B2" s="274"/>
      <c r="E2" s="276" t="s">
        <v>231</v>
      </c>
      <c r="F2" s="277">
        <v>118500.0</v>
      </c>
      <c r="G2" s="277"/>
      <c r="J2" s="274"/>
      <c r="K2" s="276" t="s">
        <v>218</v>
      </c>
      <c r="L2" s="277">
        <v>1721.0</v>
      </c>
      <c r="M2" s="214"/>
    </row>
    <row r="3">
      <c r="A3" s="274"/>
      <c r="B3" s="274"/>
      <c r="E3" s="276" t="s">
        <v>218</v>
      </c>
      <c r="F3" s="277">
        <v>110300.0</v>
      </c>
      <c r="G3" s="277"/>
      <c r="J3" s="274"/>
      <c r="K3" s="276" t="s">
        <v>231</v>
      </c>
      <c r="L3" s="277">
        <v>1581.0</v>
      </c>
      <c r="M3" s="214"/>
    </row>
    <row r="4">
      <c r="A4" s="274"/>
      <c r="B4" s="274"/>
      <c r="E4" s="276" t="s">
        <v>223</v>
      </c>
      <c r="F4" s="277">
        <v>93200.0</v>
      </c>
      <c r="G4" s="277"/>
      <c r="J4" s="274"/>
      <c r="K4" s="276" t="s">
        <v>223</v>
      </c>
      <c r="L4" s="277">
        <v>1478.0</v>
      </c>
    </row>
    <row r="5">
      <c r="A5" s="274"/>
      <c r="B5" s="274"/>
      <c r="E5" s="276" t="s">
        <v>219</v>
      </c>
      <c r="F5" s="277">
        <v>44800.0</v>
      </c>
      <c r="G5" s="277"/>
      <c r="J5" s="274"/>
      <c r="K5" s="276" t="s">
        <v>219</v>
      </c>
      <c r="L5" s="277">
        <v>1303.0</v>
      </c>
    </row>
    <row r="6">
      <c r="A6" s="274"/>
      <c r="B6" s="274"/>
      <c r="E6" s="276" t="s">
        <v>214</v>
      </c>
      <c r="F6" s="277">
        <v>24400.0</v>
      </c>
      <c r="G6" s="277"/>
      <c r="H6" s="214"/>
      <c r="J6" s="274"/>
      <c r="K6" s="276" t="s">
        <v>216</v>
      </c>
      <c r="L6" s="277">
        <v>924.0</v>
      </c>
    </row>
    <row r="7">
      <c r="A7" s="274"/>
      <c r="B7" s="274"/>
      <c r="E7" s="276" t="s">
        <v>216</v>
      </c>
      <c r="F7" s="277">
        <v>23800.0</v>
      </c>
      <c r="G7" s="277"/>
      <c r="H7" s="214"/>
      <c r="J7" s="274"/>
      <c r="K7" s="276" t="s">
        <v>226</v>
      </c>
      <c r="L7" s="277">
        <v>692.0</v>
      </c>
    </row>
    <row r="8">
      <c r="A8" s="274"/>
      <c r="B8" s="274"/>
      <c r="E8" s="276" t="s">
        <v>217</v>
      </c>
      <c r="F8" s="277">
        <v>20900.0</v>
      </c>
      <c r="G8" s="277"/>
      <c r="J8" s="274"/>
      <c r="K8" s="276" t="s">
        <v>214</v>
      </c>
      <c r="L8" s="277">
        <v>608.0</v>
      </c>
    </row>
    <row r="9">
      <c r="A9" s="274"/>
      <c r="B9" s="274"/>
      <c r="E9" s="276" t="s">
        <v>222</v>
      </c>
      <c r="F9" s="277">
        <v>19900.0</v>
      </c>
      <c r="G9" s="277"/>
      <c r="J9" s="274"/>
      <c r="K9" s="276" t="s">
        <v>227</v>
      </c>
      <c r="L9" s="277">
        <v>424.0</v>
      </c>
    </row>
    <row r="10">
      <c r="A10" s="274"/>
      <c r="B10" s="274"/>
      <c r="E10" s="276" t="s">
        <v>227</v>
      </c>
      <c r="F10" s="277">
        <v>14300.0</v>
      </c>
      <c r="G10" s="277"/>
      <c r="J10" s="274"/>
      <c r="K10" s="276" t="s">
        <v>217</v>
      </c>
      <c r="L10" s="277">
        <v>246.0</v>
      </c>
    </row>
    <row r="11">
      <c r="A11" s="274"/>
      <c r="B11" s="274"/>
      <c r="E11" s="276" t="s">
        <v>226</v>
      </c>
      <c r="F11" s="277">
        <v>13900.0</v>
      </c>
      <c r="G11" s="277"/>
      <c r="J11" s="274"/>
      <c r="K11" s="276" t="s">
        <v>222</v>
      </c>
      <c r="L11" s="277">
        <v>245.0</v>
      </c>
    </row>
    <row r="12">
      <c r="A12" s="274"/>
      <c r="B12" s="274"/>
      <c r="E12" s="276"/>
      <c r="F12" s="277"/>
      <c r="G12" s="277"/>
      <c r="J12" s="274"/>
      <c r="K12" s="276"/>
      <c r="L12" s="277"/>
    </row>
    <row r="13">
      <c r="A13" s="274"/>
      <c r="B13" s="274"/>
      <c r="E13" s="276"/>
      <c r="F13" s="277"/>
      <c r="G13" s="277"/>
      <c r="J13" s="274"/>
      <c r="K13" s="276"/>
      <c r="L13" s="277"/>
    </row>
    <row r="16">
      <c r="A16" s="274"/>
    </row>
  </sheetData>
  <mergeCells count="1">
    <mergeCell ref="A16:B16"/>
  </mergeCells>
  <drawing r:id="rId1"/>
</worksheet>
</file>