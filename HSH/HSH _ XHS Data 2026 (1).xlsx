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Aug.2026" sheetId="2" r:id="rId6"/>
    <sheet state="visible" name="July.2026" sheetId="3" r:id="rId7"/>
    <sheet state="visible" name="Jun.2026" sheetId="4" r:id="rId8"/>
    <sheet state="visible" name="May.2026" sheetId="5" r:id="rId9"/>
    <sheet state="visible" name="Apr.2026" sheetId="6" r:id="rId10"/>
    <sheet state="visible" name="Mar.2026" sheetId="7" r:id="rId11"/>
    <sheet state="visible" name="Feb.2026" sheetId="8" r:id="rId12"/>
    <sheet state="visible" name="Jan.2026" sheetId="9" r:id="rId13"/>
    <sheet state="visible" name="工作表3" sheetId="10" r:id="rId14"/>
  </sheets>
  <definedNames/>
  <calcPr/>
</workbook>
</file>

<file path=xl/sharedStrings.xml><?xml version="1.0" encoding="utf-8"?>
<sst xmlns="http://schemas.openxmlformats.org/spreadsheetml/2006/main" count="1018" uniqueCount="140">
  <si>
    <t>Report LInk</t>
  </si>
  <si>
    <t>XHS</t>
  </si>
  <si>
    <t>Jan.2026</t>
  </si>
  <si>
    <t>Feb.2026</t>
  </si>
  <si>
    <t>Mar.2026</t>
  </si>
  <si>
    <t>Apr.2026</t>
  </si>
  <si>
    <t>Jun.2026</t>
  </si>
  <si>
    <t>July 2026</t>
  </si>
  <si>
    <t>Aug 2026</t>
  </si>
  <si>
    <t>SUM</t>
  </si>
  <si>
    <t>Fans Number</t>
  </si>
  <si>
    <t>XHS Post</t>
  </si>
  <si>
    <t>Date of Publish</t>
  </si>
  <si>
    <t>Subject</t>
  </si>
  <si>
    <t>View</t>
  </si>
  <si>
    <t>Like</t>
  </si>
  <si>
    <t>Comment</t>
  </si>
  <si>
    <t>Share</t>
  </si>
  <si>
    <t>Saved</t>
  </si>
  <si>
    <t>Total Engagement</t>
  </si>
  <si>
    <t>Total Engagement Rate</t>
  </si>
  <si>
    <t>Fans Increased</t>
  </si>
  <si>
    <t>香港年中蓄势｜在有呼吸感的空间办场沙龙✨</t>
  </si>
  <si>
    <t>香港34校网：中产爸妈“反内耗”卡位指南🎒</t>
  </si>
  <si>
    <t>Net Fans Growth</t>
  </si>
  <si>
    <t>在中环上班☔竟然“一年不用带伞”？</t>
  </si>
  <si>
    <t xml:space="preserve"> Engagement</t>
  </si>
  <si>
    <t>26Fall香港租房不踩雷！神仙公寓了解下🙋</t>
  </si>
  <si>
    <t>Views</t>
  </si>
  <si>
    <t>楼市报告揭晓：回暖期哪些优质房产值得买？</t>
  </si>
  <si>
    <t>Impressions</t>
  </si>
  <si>
    <t>问爆了！香港七夕去哪里？💑</t>
  </si>
  <si>
    <t>Post no.</t>
  </si>
  <si>
    <t>Aug total</t>
  </si>
  <si>
    <t>July total</t>
  </si>
  <si>
    <t>聚光</t>
  </si>
  <si>
    <t>XHS Subject</t>
  </si>
  <si>
    <t>Period</t>
  </si>
  <si>
    <t>香港CBD2！观塘24小时不打烊创意基地💡</t>
  </si>
  <si>
    <t>Objectives</t>
  </si>
  <si>
    <t>Cost￥</t>
  </si>
  <si>
    <t>Clicks</t>
  </si>
  <si>
    <t>Likes</t>
  </si>
  <si>
    <t>Follow</t>
  </si>
  <si>
    <t>CTR</t>
  </si>
  <si>
    <t>CPC ¥</t>
  </si>
  <si>
    <t>CPM ¥</t>
  </si>
  <si>
    <t>7.6-7.8
7.25-7.26</t>
  </si>
  <si>
    <t>全站智投-互动量</t>
  </si>
  <si>
    <t>8/3-8/5</t>
  </si>
  <si>
    <t>端午来港多缤纷! 这份龙舟指南请收好📓</t>
  </si>
  <si>
    <t>Jun total</t>
  </si>
  <si>
    <t>8/18-8/20</t>
  </si>
  <si>
    <t>/</t>
  </si>
  <si>
    <t>Aug Total</t>
  </si>
  <si>
    <t>香港太子这片教育蓝海有多“香”？</t>
  </si>
  <si>
    <t>7.3-7.6</t>
  </si>
  <si>
    <t>July Total</t>
  </si>
  <si>
    <t>HKD Total  + 20% Service fee</t>
  </si>
  <si>
    <t>Spent (HKD)</t>
  </si>
  <si>
    <t>Engagement</t>
  </si>
  <si>
    <t>Impression</t>
  </si>
  <si>
    <t>6.15-6.20</t>
  </si>
  <si>
    <t>CPE</t>
  </si>
  <si>
    <t>CPM</t>
  </si>
  <si>
    <t>薯条</t>
  </si>
  <si>
    <t>Homepage Views</t>
  </si>
  <si>
    <t>Jun Total</t>
  </si>
  <si>
    <t>Direct Messages</t>
  </si>
  <si>
    <t>点赞收藏量</t>
  </si>
  <si>
    <t>当AI接管了逻辑，为什么我们仍需见一面？</t>
  </si>
  <si>
    <t>这个520，不如在香港核心区和事业一起开花</t>
  </si>
  <si>
    <t>香港太子这片教育蓝海有多“香”</t>
  </si>
  <si>
    <t>港岛选址秘籍：看懂人流量，开店成功一半</t>
  </si>
  <si>
    <t>粉丝关注量</t>
  </si>
  <si>
    <t>从工业区到艺术核心，在黄竹坑偶遇灵感</t>
  </si>
  <si>
    <t>May total</t>
  </si>
  <si>
    <t xml:space="preserve"> 当AI接管了逻辑，为什么我们仍需见一面？</t>
  </si>
  <si>
    <t>马年办活动不踩雷⚡香港三地场地任选</t>
  </si>
  <si>
    <t>CPC</t>
  </si>
  <si>
    <t>在中环「黄金边界」寻找你的事业坐标</t>
  </si>
  <si>
    <t>1分钟香港站！中环宝藏“效率坐标”🚀</t>
  </si>
  <si>
    <t>5.8 - 5.10</t>
  </si>
  <si>
    <t>May Total</t>
  </si>
  <si>
    <t>在香港，聪明的创业者都在把生意“变轻”</t>
  </si>
  <si>
    <t>观塘高能量工作室⚡️让你办公效率Max</t>
  </si>
  <si>
    <t>☕️在香港，“家半径”主理人正兴起</t>
  </si>
  <si>
    <t>2026香港创业：告别面子溢价，回归坪效内核</t>
  </si>
  <si>
    <t>这个五一！跟着明星镜头漫步香港</t>
  </si>
  <si>
    <t>你的本命Office！上环VS湾仔，马年Pick谁？</t>
  </si>
  <si>
    <t>🎥这个五一！跟着明星镜头漫步香港</t>
  </si>
  <si>
    <t>Apr total</t>
  </si>
  <si>
    <t>4.28 - 4.30</t>
  </si>
  <si>
    <t>官宣！香港协成行正式入驻小红书🎉</t>
  </si>
  <si>
    <t>4.20 - 4.22</t>
  </si>
  <si>
    <t>4.10 - 4.12</t>
  </si>
  <si>
    <t>Apr Total</t>
  </si>
  <si>
    <t>219.63HKD</t>
  </si>
  <si>
    <t>$939.60</t>
  </si>
  <si>
    <t>在西贡银线湾，活出香港稀缺的“松弛感”</t>
  </si>
  <si>
    <t>在港岛东，过上了下班回家看海的生活</t>
  </si>
  <si>
    <t>香港3月限定！艺术月漫游指南🗺️</t>
  </si>
  <si>
    <t>Mar total</t>
  </si>
  <si>
    <t>205.2HKD</t>
  </si>
  <si>
    <t>3.3 - 3.5</t>
  </si>
  <si>
    <t>3.6 - 3.8</t>
  </si>
  <si>
    <t>3.20 - 3.22</t>
  </si>
  <si>
    <t>3.30 - 4.1</t>
  </si>
  <si>
    <t>Mar Total</t>
  </si>
  <si>
    <t xml:space="preserve"> 香港逛吃必看！木的地双店打卡指南📒</t>
  </si>
  <si>
    <t>人均一杯酒钱💰轻松拿下九龙年末轰趴！</t>
  </si>
  <si>
    <t>Genesis｜香港白领「Work Well」指南</t>
  </si>
  <si>
    <t>📝2025 Recap | 你的「Office Plus年度报告」</t>
  </si>
  <si>
    <t>🌹港式情人节出逃计划：不打卡，只约会</t>
  </si>
  <si>
    <t>Feb total</t>
  </si>
  <si>
    <t>6/2-8/2</t>
  </si>
  <si>
    <t>香港逛吃必看！木的地双店打卡指南📒</t>
  </si>
  <si>
    <t>Jan total</t>
  </si>
  <si>
    <t>24/2-26/2</t>
  </si>
  <si>
    <t>全站智投-信息流</t>
  </si>
  <si>
    <t>Feb Total</t>
  </si>
  <si>
    <t>29/1-31/1</t>
  </si>
  <si>
    <t>Jan Total</t>
  </si>
  <si>
    <t>KOL</t>
  </si>
  <si>
    <t>Category</t>
  </si>
  <si>
    <t>Post Link</t>
  </si>
  <si>
    <t>🔧资源支持 × Office Plus 创业双效助力</t>
  </si>
  <si>
    <t>vkshing</t>
  </si>
  <si>
    <t>Video</t>
  </si>
  <si>
    <r>
      <rPr>
        <sz val="12.0"/>
      </rPr>
      <t xml:space="preserve"> </t>
    </r>
    <r>
      <rPr>
        <color rgb="FF1155CC"/>
        <sz val="12.0"/>
        <u/>
      </rPr>
      <t>🇭🇰香港不鸡娃家庭听完拔萃男书院校长讲座后悔了吗？</t>
    </r>
  </si>
  <si>
    <t>3/9-3/27</t>
  </si>
  <si>
    <t>¥9.85</t>
  </si>
  <si>
    <t>¥137.51</t>
  </si>
  <si>
    <t>Genesis｜香港白领「Work Well」指南间任你Pick</t>
  </si>
  <si>
    <t>港漂创业必看！AI推荐的神仙工位💼</t>
  </si>
  <si>
    <t xml:space="preserve"> 官宣！香港协成行正式入驻小红书🎉</t>
  </si>
  <si>
    <t>香港新据点！三大活动空间任你Pick</t>
  </si>
  <si>
    <t>效率MAX的活动“潜台词”图鉴📖</t>
  </si>
  <si>
    <t>¥60.17</t>
  </si>
  <si>
    <t>2/9-2/26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</si>
</sst>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yyyy"/>
    <numFmt numFmtId="165" formatCode="mmm d"/>
    <numFmt numFmtId="166" formatCode="#,##0;(#,##0)"/>
    <numFmt numFmtId="167" formatCode="#,##0.00;(#,##0.00)"/>
    <numFmt numFmtId="168" formatCode="[$$]#,##0.00"/>
    <numFmt numFmtId="169" formatCode="&quot;¥&quot;#,##0.00"/>
    <numFmt numFmtId="170" formatCode="m/d"/>
    <numFmt numFmtId="171" formatCode="[$￥-804]#,##0.00"/>
  </numFmts>
  <fonts count="12">
    <font>
      <sz val="10.0"/>
      <color rgb="FF000000"/>
      <name val="Arial"/>
      <scheme val="minor"/>
    </font>
    <font>
      <b/>
      <color rgb="FFCC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horizontal="center" readingOrder="0" vertical="bottom"/>
    </xf>
    <xf borderId="1" fillId="4" fontId="4" numFmtId="0" xfId="0" applyAlignment="1" applyBorder="1" applyFill="1" applyFon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0" fontId="3" numFmtId="3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 vertical="center"/>
    </xf>
    <xf borderId="1" fillId="5" fontId="2" numFmtId="0" xfId="0" applyAlignment="1" applyBorder="1" applyFill="1" applyFon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2" xfId="0" applyAlignment="1" applyBorder="1" applyFont="1" applyNumberFormat="1">
      <alignment horizontal="center" readingOrder="0" shrinkToFit="0" vertical="center" wrapText="0"/>
    </xf>
    <xf borderId="1" fillId="0" fontId="3" numFmtId="2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readingOrder="0" shrinkToFit="0" vertical="center" wrapText="0"/>
    </xf>
    <xf borderId="1" fillId="0" fontId="3" numFmtId="2" xfId="0" applyAlignment="1" applyBorder="1" applyFont="1" applyNumberFormat="1">
      <alignment horizontal="center" shrinkToFit="0" vertical="center" wrapText="0"/>
    </xf>
    <xf borderId="1" fillId="0" fontId="3" numFmtId="10" xfId="0" applyAlignment="1" applyBorder="1" applyFont="1" applyNumberFormat="1">
      <alignment vertical="center"/>
    </xf>
    <xf borderId="1" fillId="0" fontId="3" numFmtId="167" xfId="0" applyAlignment="1" applyBorder="1" applyFont="1" applyNumberFormat="1">
      <alignment horizontal="center" vertical="center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5" fillId="0" fontId="3" numFmtId="168" xfId="0" applyAlignment="1" applyBorder="1" applyFont="1" applyNumberFormat="1">
      <alignment horizontal="center" vertical="center"/>
    </xf>
    <xf borderId="0" fillId="0" fontId="3" numFmtId="169" xfId="0" applyAlignment="1" applyFont="1" applyNumberFormat="1">
      <alignment horizontal="right" readingOrder="0" vertical="center"/>
    </xf>
    <xf borderId="1" fillId="6" fontId="3" numFmtId="0" xfId="0" applyAlignment="1" applyBorder="1" applyFill="1" applyFont="1">
      <alignment horizontal="center" vertical="center"/>
    </xf>
    <xf borderId="1" fillId="0" fontId="3" numFmtId="168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horizontal="right" readingOrder="0" vertical="center"/>
    </xf>
    <xf borderId="1" fillId="0" fontId="3" numFmtId="3" xfId="0" applyAlignment="1" applyBorder="1" applyFont="1" applyNumberFormat="1">
      <alignment horizontal="right" readingOrder="0" vertical="center"/>
    </xf>
    <xf borderId="1" fillId="0" fontId="3" numFmtId="4" xfId="0" applyAlignment="1" applyBorder="1" applyFont="1" applyNumberFormat="1">
      <alignment horizontal="right" vertical="center"/>
    </xf>
    <xf borderId="1" fillId="0" fontId="3" numFmtId="2" xfId="0" applyAlignment="1" applyBorder="1" applyFont="1" applyNumberFormat="1">
      <alignment horizontal="right" vertical="center"/>
    </xf>
    <xf borderId="1" fillId="5" fontId="6" numFmtId="0" xfId="0" applyAlignment="1" applyBorder="1" applyFill="1" applyFont="1">
      <alignment horizontal="center" vertical="center"/>
    </xf>
    <xf borderId="1" fillId="0" fontId="3" numFmtId="170" xfId="0" applyAlignment="1" applyBorder="1" applyFont="1" applyNumberFormat="1">
      <alignment horizontal="center" readingOrder="0" vertical="center"/>
    </xf>
    <xf borderId="6" fillId="0" fontId="3" numFmtId="10" xfId="0" applyAlignment="1" applyBorder="1" applyFont="1" applyNumberFormat="1">
      <alignment horizontal="center" vertical="center"/>
    </xf>
    <xf borderId="6" fillId="0" fontId="3" numFmtId="2" xfId="0" applyAlignment="1" applyBorder="1" applyFont="1" applyNumberFormat="1">
      <alignment horizontal="center" vertical="center"/>
    </xf>
    <xf borderId="6" fillId="0" fontId="3" numFmtId="170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1" fillId="0" fontId="3" numFmtId="168" xfId="0" applyAlignment="1" applyBorder="1" applyFont="1" applyNumberForma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7" fillId="0" fontId="5" numFmtId="0" xfId="0" applyBorder="1" applyFont="1"/>
    <xf borderId="1" fillId="6" fontId="3" numFmtId="0" xfId="0" applyAlignment="1" applyBorder="1" applyFill="1" applyFont="1">
      <alignment horizontal="center" vertical="bottom"/>
    </xf>
    <xf borderId="1" fillId="0" fontId="3" numFmtId="10" xfId="0" applyAlignment="1" applyBorder="1" applyFont="1" applyNumberFormat="1">
      <alignment horizontal="right" readingOrder="0" vertical="bottom"/>
    </xf>
    <xf borderId="8" fillId="0" fontId="5" numFmtId="0" xfId="0" applyBorder="1" applyFont="1"/>
    <xf borderId="1" fillId="0" fontId="3" numFmtId="4" xfId="0" applyAlignment="1" applyBorder="1" applyFont="1" applyNumberFormat="1">
      <alignment horizontal="right" readingOrder="0" vertical="bottom"/>
    </xf>
    <xf borderId="0" fillId="0" fontId="3" numFmtId="171" xfId="0" applyAlignment="1" applyFont="1" applyNumberFormat="1">
      <alignment horizontal="right" readingOrder="0" vertical="bottom"/>
    </xf>
    <xf borderId="1" fillId="0" fontId="3" numFmtId="2" xfId="0" applyAlignment="1" applyBorder="1" applyFont="1" applyNumberFormat="1">
      <alignment horizontal="right" vertical="bottom"/>
    </xf>
    <xf borderId="0" fillId="0" fontId="3" numFmtId="169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167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70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vertical="center"/>
    </xf>
    <xf borderId="0" fillId="0" fontId="3" numFmtId="166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horizontal="center" readingOrder="0" vertical="center"/>
    </xf>
    <xf borderId="0" fillId="0" fontId="3" numFmtId="2" xfId="0" applyAlignment="1" applyFont="1" applyNumberFormat="1">
      <alignment horizontal="center" readingOrder="0" vertical="center"/>
    </xf>
    <xf borderId="6" fillId="0" fontId="3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166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/>
    </xf>
    <xf borderId="0" fillId="0" fontId="3" numFmtId="169" xfId="0" applyAlignment="1" applyFont="1" applyNumberFormat="1">
      <alignment horizontal="right" vertical="center"/>
    </xf>
    <xf borderId="1" fillId="0" fontId="3" numFmtId="168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9" numFmtId="0" xfId="0" applyAlignment="1" applyFont="1">
      <alignment horizontal="center" readingOrder="0"/>
    </xf>
    <xf borderId="1" fillId="0" fontId="3" numFmtId="3" xfId="0" applyAlignment="1" applyBorder="1" applyFont="1" applyNumberFormat="1">
      <alignment horizontal="right" vertical="center"/>
    </xf>
    <xf borderId="6" fillId="0" fontId="3" numFmtId="166" xfId="0" applyAlignment="1" applyBorder="1" applyFont="1" applyNumberFormat="1">
      <alignment horizontal="center" readingOrder="0" vertical="center"/>
    </xf>
    <xf borderId="6" fillId="0" fontId="3" numFmtId="10" xfId="0" applyAlignment="1" applyBorder="1" applyFont="1" applyNumberFormat="1">
      <alignment horizontal="center" readingOrder="0" vertical="center"/>
    </xf>
    <xf borderId="6" fillId="0" fontId="3" numFmtId="2" xfId="0" applyAlignment="1" applyBorder="1" applyFont="1" applyNumberFormat="1">
      <alignment horizontal="center" readingOrder="0" vertical="center"/>
    </xf>
    <xf borderId="6" fillId="0" fontId="3" numFmtId="170" xfId="0" applyAlignment="1" applyBorder="1" applyFont="1" applyNumberFormat="1">
      <alignment horizontal="center" vertical="center"/>
    </xf>
    <xf borderId="6" fillId="0" fontId="3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9" numFmtId="3" xfId="0" applyAlignment="1" applyFont="1" applyNumberFormat="1">
      <alignment horizontal="center" readingOrder="0"/>
    </xf>
    <xf borderId="1" fillId="0" fontId="3" numFmtId="10" xfId="0" applyAlignment="1" applyBorder="1" applyFont="1" applyNumberFormat="1">
      <alignment horizontal="center" readingOrder="0" vertical="center"/>
    </xf>
    <xf borderId="1" fillId="0" fontId="3" numFmtId="2" xfId="0" applyAlignment="1" applyBorder="1" applyFont="1" applyNumberFormat="1">
      <alignment horizontal="center" readingOrder="0" vertical="center"/>
    </xf>
    <xf borderId="0" fillId="0" fontId="11" numFmtId="166" xfId="0" applyAlignment="1" applyFont="1" applyNumberFormat="1">
      <alignment readingOrder="0"/>
    </xf>
    <xf borderId="0" fillId="0" fontId="11" numFmtId="166" xfId="0" applyFont="1" applyNumberFormat="1"/>
    <xf borderId="1" fillId="0" fontId="3" numFmtId="10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6" fillId="0" fontId="3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explore/69e5a30f000000001b023597?xsec_token=ABvuaZgaQezGG61HHTmHZMJAYPKg2wCHoqsNrt8CFbGaQ=&amp;xsec_source=pc_user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2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>
        <v>46143.0</v>
      </c>
      <c r="G1" s="4" t="s">
        <v>6</v>
      </c>
      <c r="H1" s="6" t="s">
        <v>7</v>
      </c>
      <c r="I1" s="6" t="s">
        <v>8</v>
      </c>
      <c r="J1" s="4"/>
      <c r="K1" s="4" t="s">
        <v>9</v>
      </c>
    </row>
    <row r="2">
      <c r="A2" s="7" t="s">
        <v>10</v>
      </c>
      <c r="B2" s="8">
        <v>1151.0</v>
      </c>
      <c r="C2" s="10">
        <v>1283.0</v>
      </c>
      <c r="D2" s="10">
        <v>1516.0</v>
      </c>
      <c r="E2" s="10">
        <v>1522.0</v>
      </c>
      <c r="F2" s="10">
        <v>1816.0</v>
      </c>
      <c r="G2" s="10">
        <v>2033.0</v>
      </c>
      <c r="H2" s="10">
        <v>2154.0</v>
      </c>
      <c r="I2" s="10">
        <v>2253.0</v>
      </c>
      <c r="J2" s="11"/>
      <c r="K2" s="11">
        <f t="shared" ref="K2:K7" si="1">SUM(B2:I2)</f>
        <v>13728</v>
      </c>
    </row>
    <row r="3">
      <c r="A3" s="7" t="s">
        <v>24</v>
      </c>
      <c r="B3" s="18">
        <v>56.0</v>
      </c>
      <c r="C3" s="19">
        <v>135.0</v>
      </c>
      <c r="D3" s="19">
        <v>240.0</v>
      </c>
      <c r="E3" s="19">
        <v>11.0</v>
      </c>
      <c r="F3" s="19">
        <v>321.0</v>
      </c>
      <c r="G3" s="10">
        <v>232.0</v>
      </c>
      <c r="H3" s="10">
        <v>128.0</v>
      </c>
      <c r="I3" s="10">
        <v>106.0</v>
      </c>
      <c r="J3" s="21"/>
      <c r="K3" s="21">
        <f t="shared" si="1"/>
        <v>1229</v>
      </c>
    </row>
    <row r="4">
      <c r="A4" s="7" t="s">
        <v>26</v>
      </c>
      <c r="B4" s="18">
        <v>71.0</v>
      </c>
      <c r="C4" s="19">
        <v>76.0</v>
      </c>
      <c r="D4" s="19">
        <v>176.0</v>
      </c>
      <c r="E4" s="19">
        <v>51.0</v>
      </c>
      <c r="F4" s="19">
        <v>69.0</v>
      </c>
      <c r="G4" s="10">
        <v>80.0</v>
      </c>
      <c r="H4" s="10">
        <v>98.0</v>
      </c>
      <c r="I4" s="10">
        <v>73.0</v>
      </c>
      <c r="J4" s="11"/>
      <c r="K4" s="11">
        <f t="shared" si="1"/>
        <v>694</v>
      </c>
    </row>
    <row r="5">
      <c r="A5" s="7" t="s">
        <v>28</v>
      </c>
      <c r="B5" s="18">
        <v>328.0</v>
      </c>
      <c r="C5" s="19">
        <v>358.0</v>
      </c>
      <c r="D5" s="10">
        <v>1143.0</v>
      </c>
      <c r="E5" s="19">
        <v>255.0</v>
      </c>
      <c r="F5" s="10">
        <v>3771.0</v>
      </c>
      <c r="G5" s="10">
        <v>681.0</v>
      </c>
      <c r="H5" s="10">
        <v>469.0</v>
      </c>
      <c r="I5" s="10">
        <v>335.0</v>
      </c>
      <c r="J5" s="21"/>
      <c r="K5" s="21">
        <f t="shared" si="1"/>
        <v>7340</v>
      </c>
    </row>
    <row r="6">
      <c r="A6" s="7" t="s">
        <v>30</v>
      </c>
      <c r="B6" s="8">
        <v>5028.0</v>
      </c>
      <c r="C6" s="8">
        <v>4883.0</v>
      </c>
      <c r="D6" s="8">
        <v>19361.0</v>
      </c>
      <c r="E6" s="10">
        <v>7151.0</v>
      </c>
      <c r="F6" s="10">
        <v>3829.0</v>
      </c>
      <c r="G6" s="10">
        <v>9654.0</v>
      </c>
      <c r="H6" s="10">
        <v>9802.0</v>
      </c>
      <c r="I6" s="10">
        <v>6701.0</v>
      </c>
      <c r="J6" s="21"/>
      <c r="K6" s="11">
        <f t="shared" si="1"/>
        <v>66409</v>
      </c>
    </row>
    <row r="7">
      <c r="A7" s="7" t="s">
        <v>32</v>
      </c>
      <c r="B7" s="18">
        <v>2.0</v>
      </c>
      <c r="C7" s="19">
        <v>4.0</v>
      </c>
      <c r="D7" s="19">
        <v>5.0</v>
      </c>
      <c r="E7" s="19">
        <v>3.0</v>
      </c>
      <c r="F7" s="19">
        <v>4.0</v>
      </c>
      <c r="G7" s="10">
        <v>3.0</v>
      </c>
      <c r="H7" s="10">
        <v>3.0</v>
      </c>
      <c r="I7" s="10">
        <v>3.0</v>
      </c>
      <c r="J7" s="21"/>
      <c r="K7" s="21">
        <f t="shared" si="1"/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46237.0</v>
      </c>
      <c r="C4" s="14" t="s">
        <v>23</v>
      </c>
      <c r="D4" s="15">
        <v>103.0</v>
      </c>
      <c r="E4" s="16">
        <v>9.0</v>
      </c>
      <c r="F4" s="16">
        <v>3.0</v>
      </c>
      <c r="G4" s="16">
        <v>1.0</v>
      </c>
      <c r="H4" s="16">
        <v>5.0</v>
      </c>
      <c r="I4" s="16">
        <v>18.0</v>
      </c>
      <c r="J4" s="17">
        <f t="shared" ref="J4:J7" si="1">I4/D4</f>
        <v>0.1747572816</v>
      </c>
      <c r="K4" s="16">
        <v>1.0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46251.0</v>
      </c>
      <c r="C5" s="14" t="s">
        <v>25</v>
      </c>
      <c r="D5" s="16">
        <v>141.0</v>
      </c>
      <c r="E5" s="16">
        <v>21.0</v>
      </c>
      <c r="F5" s="16">
        <v>1.0</v>
      </c>
      <c r="G5" s="16">
        <v>1.0</v>
      </c>
      <c r="H5" s="16">
        <v>7.0</v>
      </c>
      <c r="I5" s="16">
        <v>30.0</v>
      </c>
      <c r="J5" s="17">
        <f t="shared" si="1"/>
        <v>0.2127659574</v>
      </c>
      <c r="K5" s="16">
        <v>0.0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46254.0</v>
      </c>
      <c r="C6" s="14" t="s">
        <v>31</v>
      </c>
      <c r="D6" s="16">
        <v>91.0</v>
      </c>
      <c r="E6" s="16">
        <v>16.0</v>
      </c>
      <c r="F6" s="16">
        <v>1.0</v>
      </c>
      <c r="G6" s="16">
        <v>1.0</v>
      </c>
      <c r="H6" s="16">
        <v>7.0</v>
      </c>
      <c r="I6" s="16">
        <v>25.0</v>
      </c>
      <c r="J6" s="17">
        <f t="shared" si="1"/>
        <v>0.2747252747</v>
      </c>
      <c r="K6" s="16">
        <v>1.0</v>
      </c>
      <c r="L6" s="20"/>
      <c r="M6" s="20"/>
      <c r="N6" s="20"/>
      <c r="O6" s="20"/>
      <c r="P6" s="20"/>
      <c r="Q6" s="3"/>
    </row>
    <row r="7">
      <c r="A7" s="22" t="s">
        <v>33</v>
      </c>
      <c r="B7" s="23"/>
      <c r="C7" s="24"/>
      <c r="D7" s="25">
        <f t="shared" ref="D7:H7" si="2">SUM(D4:D6)</f>
        <v>335</v>
      </c>
      <c r="E7" s="12">
        <f t="shared" si="2"/>
        <v>46</v>
      </c>
      <c r="F7" s="12">
        <f t="shared" si="2"/>
        <v>5</v>
      </c>
      <c r="G7" s="12">
        <f t="shared" si="2"/>
        <v>3</v>
      </c>
      <c r="H7" s="12">
        <f t="shared" si="2"/>
        <v>19</v>
      </c>
      <c r="I7" s="12">
        <f>sum(I4:I6)</f>
        <v>73</v>
      </c>
      <c r="J7" s="17">
        <f t="shared" si="1"/>
        <v>0.2179104478</v>
      </c>
      <c r="K7" s="12">
        <f>SUM(K4:K6)</f>
        <v>2</v>
      </c>
      <c r="L7" s="20"/>
      <c r="M7" s="20"/>
      <c r="N7" s="20"/>
      <c r="O7" s="20"/>
      <c r="P7" s="20"/>
      <c r="Q7" s="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3"/>
    </row>
    <row r="9">
      <c r="A9" s="20"/>
      <c r="B9" s="20"/>
      <c r="C9" s="20"/>
      <c r="D9" s="26"/>
      <c r="E9" s="26"/>
      <c r="F9" s="26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7" t="s">
        <v>36</v>
      </c>
      <c r="B11" s="27" t="s">
        <v>37</v>
      </c>
      <c r="C11" s="27" t="s">
        <v>39</v>
      </c>
      <c r="D11" s="27" t="s">
        <v>40</v>
      </c>
      <c r="E11" s="27" t="s">
        <v>30</v>
      </c>
      <c r="F11" s="27" t="s">
        <v>41</v>
      </c>
      <c r="G11" s="27" t="s">
        <v>42</v>
      </c>
      <c r="H11" s="27" t="s">
        <v>16</v>
      </c>
      <c r="I11" s="27" t="s">
        <v>18</v>
      </c>
      <c r="J11" s="27" t="s">
        <v>43</v>
      </c>
      <c r="K11" s="27" t="s">
        <v>17</v>
      </c>
      <c r="L11" s="27" t="s">
        <v>19</v>
      </c>
      <c r="M11" s="27" t="s">
        <v>44</v>
      </c>
      <c r="N11" s="27" t="s">
        <v>45</v>
      </c>
      <c r="O11" s="27" t="s">
        <v>46</v>
      </c>
      <c r="P11" s="20"/>
      <c r="Q11" s="3"/>
    </row>
    <row r="12">
      <c r="A12" s="14" t="s">
        <v>23</v>
      </c>
      <c r="B12" s="14" t="s">
        <v>49</v>
      </c>
      <c r="C12" s="14" t="s">
        <v>48</v>
      </c>
      <c r="D12" s="14">
        <v>95.43</v>
      </c>
      <c r="E12" s="29">
        <v>827.0</v>
      </c>
      <c r="F12" s="14">
        <v>24.0</v>
      </c>
      <c r="G12" s="14">
        <v>10.0</v>
      </c>
      <c r="H12" s="14">
        <v>0.0</v>
      </c>
      <c r="I12" s="14">
        <v>2.0</v>
      </c>
      <c r="J12" s="14">
        <v>0.0</v>
      </c>
      <c r="K12" s="14">
        <v>0.0</v>
      </c>
      <c r="L12" s="14">
        <v>12.0</v>
      </c>
      <c r="M12" s="30">
        <f t="shared" ref="M12:M13" si="3">F12/E12</f>
        <v>0.02902055623</v>
      </c>
      <c r="N12" s="31">
        <f t="shared" ref="N12:N13" si="4">D12/F12</f>
        <v>3.97625</v>
      </c>
      <c r="O12" s="32">
        <f t="shared" ref="O12:O13" si="5">D12/E12*1000</f>
        <v>115.3929867</v>
      </c>
      <c r="P12" s="20"/>
      <c r="Q12" s="3"/>
    </row>
    <row r="13">
      <c r="A13" s="14" t="s">
        <v>31</v>
      </c>
      <c r="B13" s="14" t="s">
        <v>52</v>
      </c>
      <c r="C13" s="14" t="s">
        <v>48</v>
      </c>
      <c r="D13" s="14">
        <v>60.96</v>
      </c>
      <c r="E13" s="14">
        <v>549.0</v>
      </c>
      <c r="F13" s="14">
        <v>15.0</v>
      </c>
      <c r="G13" s="14">
        <v>6.0</v>
      </c>
      <c r="H13" s="14">
        <v>0.0</v>
      </c>
      <c r="I13" s="14">
        <v>0.0</v>
      </c>
      <c r="J13" s="14">
        <v>1.0</v>
      </c>
      <c r="K13" s="14">
        <v>0.0</v>
      </c>
      <c r="L13" s="14">
        <v>7.0</v>
      </c>
      <c r="M13" s="30">
        <f t="shared" si="3"/>
        <v>0.02732240437</v>
      </c>
      <c r="N13" s="34">
        <f t="shared" si="4"/>
        <v>4.064</v>
      </c>
      <c r="O13" s="34">
        <f t="shared" si="5"/>
        <v>111.0382514</v>
      </c>
      <c r="P13" s="20"/>
      <c r="Q13" s="3"/>
    </row>
    <row r="14">
      <c r="A14" s="14" t="s">
        <v>25</v>
      </c>
      <c r="B14" s="14" t="s">
        <v>53</v>
      </c>
      <c r="C14" s="14" t="s">
        <v>53</v>
      </c>
      <c r="D14" s="14" t="s">
        <v>53</v>
      </c>
      <c r="E14" s="14" t="s">
        <v>53</v>
      </c>
      <c r="F14" s="14" t="s">
        <v>53</v>
      </c>
      <c r="G14" s="14" t="s">
        <v>53</v>
      </c>
      <c r="H14" s="14" t="s">
        <v>53</v>
      </c>
      <c r="I14" s="14" t="s">
        <v>53</v>
      </c>
      <c r="J14" s="14" t="s">
        <v>53</v>
      </c>
      <c r="K14" s="14" t="s">
        <v>53</v>
      </c>
      <c r="L14" s="14" t="s">
        <v>53</v>
      </c>
      <c r="M14" s="14" t="s">
        <v>53</v>
      </c>
      <c r="N14" s="14" t="s">
        <v>53</v>
      </c>
      <c r="O14" s="14" t="s">
        <v>53</v>
      </c>
      <c r="P14" s="20"/>
      <c r="Q14" s="3"/>
    </row>
    <row r="15">
      <c r="A15" s="16" t="s">
        <v>54</v>
      </c>
      <c r="B15" s="36"/>
      <c r="C15" s="36"/>
      <c r="D15" s="37">
        <f t="shared" ref="D15:E15" si="6">SUM(D12:D14)</f>
        <v>156.39</v>
      </c>
      <c r="E15" s="28">
        <f t="shared" si="6"/>
        <v>1376</v>
      </c>
      <c r="F15" s="25">
        <f t="shared" ref="F15:J15" si="7">sum(F12:F14)</f>
        <v>39</v>
      </c>
      <c r="G15" s="12">
        <f t="shared" si="7"/>
        <v>16</v>
      </c>
      <c r="H15" s="12">
        <f t="shared" si="7"/>
        <v>0</v>
      </c>
      <c r="I15" s="12">
        <f t="shared" si="7"/>
        <v>2</v>
      </c>
      <c r="J15" s="12">
        <f t="shared" si="7"/>
        <v>1</v>
      </c>
      <c r="K15" s="12">
        <f>SUM(K12:K14)</f>
        <v>0</v>
      </c>
      <c r="L15" s="12">
        <f>sum(L12:L14)</f>
        <v>19</v>
      </c>
      <c r="M15" s="17">
        <f>F15/E15</f>
        <v>0.02834302326</v>
      </c>
      <c r="N15" s="32">
        <f>D15/F15</f>
        <v>4.01</v>
      </c>
      <c r="O15" s="32">
        <f>D15/E15*1000</f>
        <v>113.6555233</v>
      </c>
      <c r="P15" s="20"/>
      <c r="Q15" s="3"/>
    </row>
    <row r="16">
      <c r="A16" s="16" t="s">
        <v>58</v>
      </c>
      <c r="B16" s="36"/>
      <c r="C16" s="36"/>
      <c r="D16" s="39">
        <f>B19*1.2</f>
        <v>217.69488</v>
      </c>
      <c r="E16" s="28"/>
      <c r="F16" s="25"/>
      <c r="G16" s="12"/>
      <c r="H16" s="12"/>
      <c r="I16" s="12"/>
      <c r="J16" s="12"/>
      <c r="K16" s="12"/>
      <c r="L16" s="12"/>
      <c r="M16" s="17"/>
      <c r="N16" s="32"/>
      <c r="O16" s="32"/>
      <c r="P16" s="20"/>
      <c r="Q16" s="3"/>
    </row>
    <row r="17">
      <c r="A17" s="20"/>
      <c r="B17" s="20"/>
      <c r="C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3"/>
    </row>
    <row r="18">
      <c r="A18" s="20"/>
      <c r="B18" s="40">
        <v>156.39</v>
      </c>
      <c r="C18" s="26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41" t="s">
        <v>59</v>
      </c>
      <c r="B19" s="42">
        <f>B18*C19</f>
        <v>181.4124</v>
      </c>
      <c r="C19" s="43">
        <v>1.16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60</v>
      </c>
      <c r="B20" s="44">
        <v>9.0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61</v>
      </c>
      <c r="B21" s="44">
        <v>1376.0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63</v>
      </c>
      <c r="B22" s="45">
        <f>B19/B20</f>
        <v>20.15693333</v>
      </c>
      <c r="C22" s="40">
        <f>B22/C19</f>
        <v>17.37666667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64</v>
      </c>
      <c r="B23" s="46">
        <f>B19/B21*1000</f>
        <v>131.840407</v>
      </c>
      <c r="C23" s="40">
        <f>B23/C19</f>
        <v>113.6555233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 t="s">
        <v>65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7" t="s">
        <v>36</v>
      </c>
      <c r="B27" s="27" t="s">
        <v>37</v>
      </c>
      <c r="C27" s="27" t="s">
        <v>39</v>
      </c>
      <c r="D27" s="27" t="s">
        <v>40</v>
      </c>
      <c r="E27" s="27" t="s">
        <v>30</v>
      </c>
      <c r="F27" s="27" t="s">
        <v>41</v>
      </c>
      <c r="G27" s="27" t="s">
        <v>42</v>
      </c>
      <c r="H27" s="27" t="s">
        <v>16</v>
      </c>
      <c r="I27" s="27" t="s">
        <v>18</v>
      </c>
      <c r="J27" s="27" t="s">
        <v>43</v>
      </c>
      <c r="K27" s="47" t="s">
        <v>66</v>
      </c>
      <c r="L27" s="47" t="s">
        <v>68</v>
      </c>
      <c r="M27" s="27" t="s">
        <v>44</v>
      </c>
      <c r="N27" s="27" t="s">
        <v>45</v>
      </c>
      <c r="O27" s="27" t="s">
        <v>46</v>
      </c>
      <c r="P27" s="20"/>
      <c r="Q27" s="3"/>
    </row>
    <row r="28">
      <c r="A28" s="14" t="s">
        <v>25</v>
      </c>
      <c r="B28" s="48">
        <v>46251.0</v>
      </c>
      <c r="C28" s="16" t="s">
        <v>69</v>
      </c>
      <c r="D28" s="16">
        <v>150.0</v>
      </c>
      <c r="E28" s="15">
        <v>873.0</v>
      </c>
      <c r="F28" s="16">
        <v>46.0</v>
      </c>
      <c r="G28" s="16">
        <v>9.0</v>
      </c>
      <c r="H28" s="16">
        <v>0.0</v>
      </c>
      <c r="I28" s="16">
        <v>2.0</v>
      </c>
      <c r="J28" s="16">
        <v>0.0</v>
      </c>
      <c r="K28" s="16">
        <v>3.0</v>
      </c>
      <c r="L28" s="16">
        <v>0.0</v>
      </c>
      <c r="M28" s="49">
        <f t="shared" ref="M28:M31" si="8">F28/E28</f>
        <v>0.05269186712</v>
      </c>
      <c r="N28" s="32">
        <f t="shared" ref="N28:N31" si="9">D28/F28</f>
        <v>3.260869565</v>
      </c>
      <c r="O28" s="50">
        <f t="shared" ref="O28:O31" si="10">D28/E28*1000</f>
        <v>171.8213058</v>
      </c>
      <c r="P28" s="20"/>
      <c r="Q28" s="3"/>
    </row>
    <row r="29">
      <c r="A29" s="14" t="s">
        <v>25</v>
      </c>
      <c r="B29" s="48">
        <v>46251.0</v>
      </c>
      <c r="C29" s="16" t="s">
        <v>69</v>
      </c>
      <c r="D29" s="16">
        <v>200.0</v>
      </c>
      <c r="E29" s="15">
        <v>1296.0</v>
      </c>
      <c r="F29" s="16">
        <v>38.0</v>
      </c>
      <c r="G29" s="16">
        <v>6.0</v>
      </c>
      <c r="H29" s="16">
        <v>0.0</v>
      </c>
      <c r="I29" s="16">
        <v>2.0</v>
      </c>
      <c r="J29" s="16">
        <v>0.0</v>
      </c>
      <c r="K29" s="16">
        <v>2.0</v>
      </c>
      <c r="L29" s="16">
        <v>0.0</v>
      </c>
      <c r="M29" s="49">
        <f t="shared" si="8"/>
        <v>0.02932098765</v>
      </c>
      <c r="N29" s="32">
        <f t="shared" si="9"/>
        <v>5.263157895</v>
      </c>
      <c r="O29" s="50">
        <f t="shared" si="10"/>
        <v>154.3209877</v>
      </c>
      <c r="P29" s="20"/>
      <c r="Q29" s="3"/>
    </row>
    <row r="30">
      <c r="A30" s="14" t="s">
        <v>31</v>
      </c>
      <c r="B30" s="48">
        <v>46252.0</v>
      </c>
      <c r="C30" s="16" t="s">
        <v>69</v>
      </c>
      <c r="D30" s="16">
        <v>200.0</v>
      </c>
      <c r="E30" s="15">
        <v>1182.0</v>
      </c>
      <c r="F30" s="16">
        <v>31.0</v>
      </c>
      <c r="G30" s="16">
        <v>5.0</v>
      </c>
      <c r="H30" s="16">
        <v>0.0</v>
      </c>
      <c r="I30" s="16">
        <v>3.0</v>
      </c>
      <c r="J30" s="16">
        <v>0.0</v>
      </c>
      <c r="K30" s="16">
        <v>0.0</v>
      </c>
      <c r="L30" s="16">
        <v>0.0</v>
      </c>
      <c r="M30" s="49">
        <f t="shared" si="8"/>
        <v>0.02622673435</v>
      </c>
      <c r="N30" s="32">
        <f t="shared" si="9"/>
        <v>6.451612903</v>
      </c>
      <c r="O30" s="50">
        <f t="shared" si="10"/>
        <v>169.2047377</v>
      </c>
      <c r="P30" s="20"/>
      <c r="Q30" s="3"/>
    </row>
    <row r="31">
      <c r="A31" s="16" t="s">
        <v>54</v>
      </c>
      <c r="B31" s="36"/>
      <c r="C31" s="36"/>
      <c r="D31" s="28">
        <f t="shared" ref="D31:L31" si="11">SUM(D28:D30)</f>
        <v>550</v>
      </c>
      <c r="E31" s="28">
        <f t="shared" si="11"/>
        <v>3351</v>
      </c>
      <c r="F31" s="25">
        <f t="shared" si="11"/>
        <v>115</v>
      </c>
      <c r="G31" s="12">
        <f t="shared" si="11"/>
        <v>20</v>
      </c>
      <c r="H31" s="12">
        <f t="shared" si="11"/>
        <v>0</v>
      </c>
      <c r="I31" s="12">
        <f t="shared" si="11"/>
        <v>7</v>
      </c>
      <c r="J31" s="12">
        <f t="shared" si="11"/>
        <v>0</v>
      </c>
      <c r="K31" s="12">
        <f t="shared" si="11"/>
        <v>5</v>
      </c>
      <c r="L31" s="12">
        <f t="shared" si="11"/>
        <v>0</v>
      </c>
      <c r="M31" s="17">
        <f t="shared" si="8"/>
        <v>0.034318114</v>
      </c>
      <c r="N31" s="32">
        <f t="shared" si="9"/>
        <v>4.782608696</v>
      </c>
      <c r="O31" s="32">
        <f t="shared" si="10"/>
        <v>164.1301104</v>
      </c>
      <c r="P31" s="20"/>
      <c r="Q31" s="3"/>
    </row>
    <row r="32">
      <c r="A32" s="16" t="s">
        <v>58</v>
      </c>
      <c r="B32" s="36"/>
      <c r="C32" s="36"/>
      <c r="D32" s="53">
        <f>B35*1.2</f>
        <v>765.6</v>
      </c>
      <c r="E32" s="28"/>
      <c r="F32" s="25"/>
      <c r="G32" s="12"/>
      <c r="H32" s="12"/>
      <c r="I32" s="12"/>
      <c r="J32" s="12"/>
      <c r="K32" s="12"/>
      <c r="L32" s="12"/>
      <c r="M32" s="17"/>
      <c r="N32" s="32"/>
      <c r="O32" s="32"/>
      <c r="P32" s="20"/>
      <c r="Q32" s="3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55"/>
      <c r="N33" s="56"/>
      <c r="O33" s="56"/>
      <c r="P33" s="20"/>
      <c r="Q33" s="3"/>
    </row>
    <row r="34">
      <c r="A34" s="20"/>
      <c r="B34" s="40">
        <v>550.0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3"/>
    </row>
    <row r="35">
      <c r="A35" s="41" t="s">
        <v>59</v>
      </c>
      <c r="B35" s="42">
        <f>B34*C35</f>
        <v>638</v>
      </c>
      <c r="C35" s="43">
        <v>1.16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3"/>
    </row>
    <row r="36">
      <c r="A36" s="41" t="s">
        <v>61</v>
      </c>
      <c r="B36" s="44">
        <v>3351.0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3"/>
    </row>
    <row r="37">
      <c r="A37" s="58" t="s">
        <v>44</v>
      </c>
      <c r="B37" s="59">
        <v>0.0343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0"/>
      <c r="Q37" s="3"/>
    </row>
    <row r="38">
      <c r="A38" s="58" t="s">
        <v>79</v>
      </c>
      <c r="B38" s="61">
        <f>B35/F31</f>
        <v>5.547826087</v>
      </c>
      <c r="C38" s="62">
        <f>B38/C35</f>
        <v>4.782608696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0"/>
      <c r="Q38" s="3"/>
    </row>
    <row r="39">
      <c r="A39" s="58" t="s">
        <v>64</v>
      </c>
      <c r="B39" s="63">
        <f>B35/B36*1000</f>
        <v>190.3909281</v>
      </c>
      <c r="C39" s="64">
        <f>B39/C35</f>
        <v>164.1301104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0"/>
      <c r="Q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0"/>
      <c r="Q40" s="3"/>
    </row>
    <row r="41">
      <c r="P41" s="20"/>
      <c r="Q41" s="3"/>
    </row>
    <row r="42">
      <c r="P42" s="20"/>
      <c r="Q42" s="3"/>
    </row>
    <row r="43">
      <c r="P43" s="20"/>
      <c r="Q43" s="3"/>
    </row>
    <row r="44">
      <c r="P44" s="20"/>
      <c r="Q44" s="3"/>
    </row>
    <row r="45" ht="1.5" customHeight="1"/>
    <row r="46" ht="1.5" customHeight="1"/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6"/>
      <c r="L51" s="66"/>
      <c r="M51" s="65"/>
      <c r="N51" s="65"/>
      <c r="O51" s="65"/>
    </row>
  </sheetData>
  <mergeCells count="1">
    <mergeCell ref="A7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46209.0</v>
      </c>
      <c r="C4" s="14" t="s">
        <v>22</v>
      </c>
      <c r="D4" s="15">
        <v>191.0</v>
      </c>
      <c r="E4" s="16">
        <v>40.0</v>
      </c>
      <c r="F4" s="16">
        <v>2.0</v>
      </c>
      <c r="G4" s="16">
        <v>0.0</v>
      </c>
      <c r="H4" s="16">
        <v>15.0</v>
      </c>
      <c r="I4" s="12">
        <f t="shared" ref="I4:I6" si="1">sum(E4:H4)</f>
        <v>57</v>
      </c>
      <c r="J4" s="17">
        <f t="shared" ref="J4:J7" si="2">I4/D4</f>
        <v>0.2984293194</v>
      </c>
      <c r="K4" s="16">
        <v>2.0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46217.0</v>
      </c>
      <c r="C5" s="14" t="s">
        <v>27</v>
      </c>
      <c r="D5" s="16">
        <v>202.0</v>
      </c>
      <c r="E5" s="16">
        <v>11.0</v>
      </c>
      <c r="F5" s="16">
        <v>4.0</v>
      </c>
      <c r="G5" s="16">
        <v>2.0</v>
      </c>
      <c r="H5" s="16">
        <v>8.0</v>
      </c>
      <c r="I5" s="12">
        <f t="shared" si="1"/>
        <v>25</v>
      </c>
      <c r="J5" s="17">
        <f t="shared" si="2"/>
        <v>0.1237623762</v>
      </c>
      <c r="K5" s="16">
        <v>2.0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46234.0</v>
      </c>
      <c r="C6" s="14" t="s">
        <v>23</v>
      </c>
      <c r="D6" s="16">
        <v>76.0</v>
      </c>
      <c r="E6" s="16">
        <v>9.0</v>
      </c>
      <c r="F6" s="16">
        <v>3.0</v>
      </c>
      <c r="G6" s="16">
        <v>0.0</v>
      </c>
      <c r="H6" s="16">
        <v>4.0</v>
      </c>
      <c r="I6" s="12">
        <f t="shared" si="1"/>
        <v>16</v>
      </c>
      <c r="J6" s="17">
        <f t="shared" si="2"/>
        <v>0.2105263158</v>
      </c>
      <c r="K6" s="16">
        <v>0.0</v>
      </c>
      <c r="L6" s="20"/>
      <c r="M6" s="20"/>
      <c r="N6" s="20"/>
      <c r="O6" s="20"/>
      <c r="P6" s="20"/>
      <c r="Q6" s="3"/>
    </row>
    <row r="7">
      <c r="A7" s="22" t="s">
        <v>34</v>
      </c>
      <c r="B7" s="23"/>
      <c r="C7" s="24"/>
      <c r="D7" s="25">
        <f t="shared" ref="D7:H7" si="3">SUM(D4:D6)</f>
        <v>469</v>
      </c>
      <c r="E7" s="12">
        <f t="shared" si="3"/>
        <v>60</v>
      </c>
      <c r="F7" s="12">
        <f t="shared" si="3"/>
        <v>9</v>
      </c>
      <c r="G7" s="12">
        <f t="shared" si="3"/>
        <v>2</v>
      </c>
      <c r="H7" s="12">
        <f t="shared" si="3"/>
        <v>27</v>
      </c>
      <c r="I7" s="12">
        <f>sum(I4:I6)</f>
        <v>98</v>
      </c>
      <c r="J7" s="17">
        <f t="shared" si="2"/>
        <v>0.2089552239</v>
      </c>
      <c r="K7" s="12">
        <f>SUM(K4:K6)</f>
        <v>4</v>
      </c>
      <c r="L7" s="20"/>
      <c r="M7" s="20"/>
      <c r="N7" s="20"/>
      <c r="O7" s="20"/>
      <c r="P7" s="20"/>
      <c r="Q7" s="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3"/>
    </row>
    <row r="9">
      <c r="A9" s="20"/>
      <c r="B9" s="20"/>
      <c r="C9" s="20"/>
      <c r="D9" s="26"/>
      <c r="E9" s="26"/>
      <c r="F9" s="26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7" t="s">
        <v>36</v>
      </c>
      <c r="B11" s="27" t="s">
        <v>37</v>
      </c>
      <c r="C11" s="27" t="s">
        <v>39</v>
      </c>
      <c r="D11" s="27" t="s">
        <v>40</v>
      </c>
      <c r="E11" s="27" t="s">
        <v>30</v>
      </c>
      <c r="F11" s="27" t="s">
        <v>41</v>
      </c>
      <c r="G11" s="27" t="s">
        <v>42</v>
      </c>
      <c r="H11" s="27" t="s">
        <v>16</v>
      </c>
      <c r="I11" s="27" t="s">
        <v>18</v>
      </c>
      <c r="J11" s="27" t="s">
        <v>43</v>
      </c>
      <c r="K11" s="27" t="s">
        <v>17</v>
      </c>
      <c r="L11" s="27" t="s">
        <v>19</v>
      </c>
      <c r="M11" s="27" t="s">
        <v>44</v>
      </c>
      <c r="N11" s="27" t="s">
        <v>45</v>
      </c>
      <c r="O11" s="27" t="s">
        <v>46</v>
      </c>
      <c r="P11" s="20"/>
      <c r="Q11" s="3"/>
    </row>
    <row r="12">
      <c r="A12" s="14" t="s">
        <v>22</v>
      </c>
      <c r="B12" s="14" t="s">
        <v>47</v>
      </c>
      <c r="C12" s="14" t="s">
        <v>48</v>
      </c>
      <c r="D12" s="14">
        <v>262.17</v>
      </c>
      <c r="E12" s="28">
        <v>1472.0</v>
      </c>
      <c r="F12" s="14">
        <v>53.0</v>
      </c>
      <c r="G12" s="14">
        <v>23.0</v>
      </c>
      <c r="H12" s="14">
        <v>0.0</v>
      </c>
      <c r="I12" s="14">
        <v>4.0</v>
      </c>
      <c r="J12" s="14">
        <v>2.0</v>
      </c>
      <c r="K12" s="14">
        <v>0.0</v>
      </c>
      <c r="L12" s="14">
        <f>sum(G12:K12)</f>
        <v>29</v>
      </c>
      <c r="M12" s="33">
        <f>F12/E12</f>
        <v>0.03600543478</v>
      </c>
      <c r="N12" s="35">
        <f>D12/F12</f>
        <v>4.946603774</v>
      </c>
      <c r="O12" s="32">
        <f>D12/E12*1000</f>
        <v>178.1046196</v>
      </c>
      <c r="P12" s="20"/>
      <c r="Q12" s="3"/>
    </row>
    <row r="13">
      <c r="A13" s="14" t="s">
        <v>27</v>
      </c>
      <c r="B13" s="14" t="s">
        <v>53</v>
      </c>
      <c r="C13" s="14" t="s">
        <v>53</v>
      </c>
      <c r="D13" s="14" t="s">
        <v>53</v>
      </c>
      <c r="E13" s="14" t="s">
        <v>53</v>
      </c>
      <c r="F13" s="14" t="s">
        <v>53</v>
      </c>
      <c r="G13" s="14" t="s">
        <v>53</v>
      </c>
      <c r="H13" s="14" t="s">
        <v>53</v>
      </c>
      <c r="I13" s="14" t="s">
        <v>53</v>
      </c>
      <c r="J13" s="14" t="s">
        <v>53</v>
      </c>
      <c r="K13" s="14" t="s">
        <v>53</v>
      </c>
      <c r="L13" s="14" t="s">
        <v>53</v>
      </c>
      <c r="M13" s="14" t="s">
        <v>53</v>
      </c>
      <c r="N13" s="14" t="s">
        <v>53</v>
      </c>
      <c r="O13" s="14" t="s">
        <v>53</v>
      </c>
      <c r="P13" s="20"/>
      <c r="Q13" s="3"/>
    </row>
    <row r="14">
      <c r="A14" s="14" t="s">
        <v>23</v>
      </c>
      <c r="B14" s="14" t="s">
        <v>53</v>
      </c>
      <c r="C14" s="14" t="s">
        <v>53</v>
      </c>
      <c r="D14" s="14" t="s">
        <v>53</v>
      </c>
      <c r="E14" s="14" t="s">
        <v>53</v>
      </c>
      <c r="F14" s="14" t="s">
        <v>53</v>
      </c>
      <c r="G14" s="14" t="s">
        <v>53</v>
      </c>
      <c r="H14" s="14" t="s">
        <v>53</v>
      </c>
      <c r="I14" s="14" t="s">
        <v>53</v>
      </c>
      <c r="J14" s="14" t="s">
        <v>53</v>
      </c>
      <c r="K14" s="14" t="s">
        <v>53</v>
      </c>
      <c r="L14" s="14" t="s">
        <v>53</v>
      </c>
      <c r="M14" s="14" t="s">
        <v>53</v>
      </c>
      <c r="N14" s="14" t="s">
        <v>53</v>
      </c>
      <c r="O14" s="14" t="s">
        <v>53</v>
      </c>
      <c r="P14" s="20"/>
      <c r="Q14" s="3"/>
    </row>
    <row r="15">
      <c r="A15" s="14" t="s">
        <v>55</v>
      </c>
      <c r="B15" s="14" t="s">
        <v>56</v>
      </c>
      <c r="C15" s="14" t="s">
        <v>48</v>
      </c>
      <c r="D15" s="14">
        <v>260.06</v>
      </c>
      <c r="E15" s="38">
        <v>3814.0</v>
      </c>
      <c r="F15" s="14">
        <v>197.0</v>
      </c>
      <c r="G15" s="14">
        <v>18.0</v>
      </c>
      <c r="H15" s="14">
        <v>0.0</v>
      </c>
      <c r="I15" s="14">
        <v>8.0</v>
      </c>
      <c r="J15" s="14">
        <v>7.0</v>
      </c>
      <c r="K15" s="14">
        <v>8.0</v>
      </c>
      <c r="L15" s="14">
        <f>sum(G15:K15)</f>
        <v>41</v>
      </c>
      <c r="M15" s="33">
        <f t="shared" ref="M15:M16" si="6">F15/E15</f>
        <v>0.05165180912</v>
      </c>
      <c r="N15" s="35">
        <f t="shared" ref="N15:N16" si="7">D15/F15</f>
        <v>1.320101523</v>
      </c>
      <c r="O15" s="32">
        <f t="shared" ref="O15:O16" si="8">D15/E15*1000</f>
        <v>68.18563188</v>
      </c>
      <c r="P15" s="20"/>
      <c r="Q15" s="3"/>
    </row>
    <row r="16">
      <c r="A16" s="16" t="s">
        <v>57</v>
      </c>
      <c r="B16" s="36"/>
      <c r="C16" s="36"/>
      <c r="D16" s="37">
        <f t="shared" ref="D16:E16" si="4">SUM(D12:D15)</f>
        <v>522.23</v>
      </c>
      <c r="E16" s="28">
        <f t="shared" si="4"/>
        <v>5286</v>
      </c>
      <c r="F16" s="25">
        <f t="shared" ref="F16:J16" si="5">sum(F12:F15)</f>
        <v>250</v>
      </c>
      <c r="G16" s="12">
        <f t="shared" si="5"/>
        <v>41</v>
      </c>
      <c r="H16" s="12">
        <f t="shared" si="5"/>
        <v>0</v>
      </c>
      <c r="I16" s="12">
        <f t="shared" si="5"/>
        <v>12</v>
      </c>
      <c r="J16" s="12">
        <f t="shared" si="5"/>
        <v>9</v>
      </c>
      <c r="K16" s="12">
        <f>SUM(K12:K15)</f>
        <v>8</v>
      </c>
      <c r="L16" s="12">
        <f>sum(L12:L15)</f>
        <v>70</v>
      </c>
      <c r="M16" s="17">
        <f t="shared" si="6"/>
        <v>0.04729474082</v>
      </c>
      <c r="N16" s="32">
        <f t="shared" si="7"/>
        <v>2.08892</v>
      </c>
      <c r="O16" s="32">
        <f t="shared" si="8"/>
        <v>98.79493</v>
      </c>
      <c r="P16" s="20"/>
      <c r="Q16" s="3"/>
    </row>
    <row r="17">
      <c r="A17" s="16" t="s">
        <v>58</v>
      </c>
      <c r="B17" s="36"/>
      <c r="C17" s="36"/>
      <c r="D17" s="39">
        <f>B20*1.2</f>
        <v>726.94416</v>
      </c>
      <c r="E17" s="28"/>
      <c r="F17" s="25"/>
      <c r="G17" s="12"/>
      <c r="H17" s="12"/>
      <c r="I17" s="12"/>
      <c r="J17" s="12"/>
      <c r="K17" s="12"/>
      <c r="L17" s="12"/>
      <c r="M17" s="17"/>
      <c r="N17" s="32"/>
      <c r="O17" s="32"/>
      <c r="P17" s="20"/>
      <c r="Q17" s="3"/>
    </row>
    <row r="18">
      <c r="A18" s="20"/>
      <c r="B18" s="20"/>
      <c r="C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20"/>
      <c r="B19" s="40">
        <v>522.23</v>
      </c>
      <c r="C19" s="26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59</v>
      </c>
      <c r="B20" s="42">
        <f>B19*C20</f>
        <v>605.7868</v>
      </c>
      <c r="C20" s="43">
        <v>1.16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60</v>
      </c>
      <c r="B21" s="44">
        <v>70.0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61</v>
      </c>
      <c r="B22" s="44">
        <v>5286.0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63</v>
      </c>
      <c r="B23" s="45">
        <f>B20/B21</f>
        <v>8.654097143</v>
      </c>
      <c r="C23" s="40">
        <f>B23/C20</f>
        <v>7.460428571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41" t="s">
        <v>64</v>
      </c>
      <c r="B24" s="46">
        <f>B20/B22*1000</f>
        <v>114.6021188</v>
      </c>
      <c r="C24" s="40">
        <f>B24/C20</f>
        <v>98.79493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0" t="s">
        <v>65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3"/>
    </row>
    <row r="28">
      <c r="A28" s="27" t="s">
        <v>36</v>
      </c>
      <c r="B28" s="27" t="s">
        <v>37</v>
      </c>
      <c r="C28" s="27" t="s">
        <v>39</v>
      </c>
      <c r="D28" s="27" t="s">
        <v>40</v>
      </c>
      <c r="E28" s="27" t="s">
        <v>30</v>
      </c>
      <c r="F28" s="27" t="s">
        <v>41</v>
      </c>
      <c r="G28" s="27" t="s">
        <v>42</v>
      </c>
      <c r="H28" s="27" t="s">
        <v>16</v>
      </c>
      <c r="I28" s="27" t="s">
        <v>18</v>
      </c>
      <c r="J28" s="27" t="s">
        <v>43</v>
      </c>
      <c r="K28" s="47" t="s">
        <v>66</v>
      </c>
      <c r="L28" s="47" t="s">
        <v>68</v>
      </c>
      <c r="M28" s="27" t="s">
        <v>44</v>
      </c>
      <c r="N28" s="27" t="s">
        <v>45</v>
      </c>
      <c r="O28" s="27" t="s">
        <v>46</v>
      </c>
      <c r="P28" s="20"/>
      <c r="Q28" s="3"/>
    </row>
    <row r="29">
      <c r="A29" s="14" t="s">
        <v>22</v>
      </c>
      <c r="B29" s="48">
        <v>46210.0</v>
      </c>
      <c r="C29" s="16" t="s">
        <v>69</v>
      </c>
      <c r="D29" s="16">
        <v>300.0</v>
      </c>
      <c r="E29" s="15">
        <v>2225.0</v>
      </c>
      <c r="F29" s="16">
        <v>68.0</v>
      </c>
      <c r="G29" s="16">
        <v>24.0</v>
      </c>
      <c r="H29" s="16">
        <v>1.0</v>
      </c>
      <c r="I29" s="16">
        <v>8.0</v>
      </c>
      <c r="J29" s="16">
        <v>1.0</v>
      </c>
      <c r="K29" s="16">
        <v>8.0</v>
      </c>
      <c r="L29" s="16">
        <v>1.0</v>
      </c>
      <c r="M29" s="49">
        <f t="shared" ref="M29:M32" si="9">F29/E29</f>
        <v>0.03056179775</v>
      </c>
      <c r="N29" s="32">
        <f t="shared" ref="N29:N32" si="10">D29/F29</f>
        <v>4.411764706</v>
      </c>
      <c r="O29" s="50">
        <f t="shared" ref="O29:O32" si="11">D29/E29*1000</f>
        <v>134.8314607</v>
      </c>
      <c r="P29" s="20"/>
      <c r="Q29" s="3"/>
    </row>
    <row r="30">
      <c r="A30" s="14" t="s">
        <v>27</v>
      </c>
      <c r="B30" s="48">
        <v>46218.0</v>
      </c>
      <c r="C30" s="16" t="s">
        <v>69</v>
      </c>
      <c r="D30" s="16">
        <v>150.0</v>
      </c>
      <c r="E30" s="15">
        <v>835.0</v>
      </c>
      <c r="F30" s="16">
        <v>22.0</v>
      </c>
      <c r="G30" s="16">
        <v>0.0</v>
      </c>
      <c r="H30" s="16">
        <v>1.0</v>
      </c>
      <c r="I30" s="16">
        <v>1.0</v>
      </c>
      <c r="J30" s="16">
        <v>1.0</v>
      </c>
      <c r="K30" s="16">
        <v>4.0</v>
      </c>
      <c r="L30" s="16">
        <v>1.0</v>
      </c>
      <c r="M30" s="49">
        <f t="shared" si="9"/>
        <v>0.02634730539</v>
      </c>
      <c r="N30" s="32">
        <f t="shared" si="10"/>
        <v>6.818181818</v>
      </c>
      <c r="O30" s="50">
        <f t="shared" si="11"/>
        <v>179.6407186</v>
      </c>
      <c r="P30" s="20"/>
      <c r="Q30" s="3"/>
    </row>
    <row r="31">
      <c r="A31" s="14" t="s">
        <v>27</v>
      </c>
      <c r="B31" s="48">
        <v>46226.0</v>
      </c>
      <c r="C31" s="16" t="s">
        <v>69</v>
      </c>
      <c r="D31" s="16">
        <v>150.0</v>
      </c>
      <c r="E31" s="15">
        <v>1488.0</v>
      </c>
      <c r="F31" s="16">
        <v>16.0</v>
      </c>
      <c r="G31" s="16">
        <v>1.0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49">
        <f t="shared" si="9"/>
        <v>0.01075268817</v>
      </c>
      <c r="N31" s="32">
        <f t="shared" si="10"/>
        <v>9.375</v>
      </c>
      <c r="O31" s="50">
        <f t="shared" si="11"/>
        <v>100.8064516</v>
      </c>
      <c r="P31" s="20"/>
      <c r="Q31" s="3"/>
    </row>
    <row r="32">
      <c r="A32" s="14" t="s">
        <v>72</v>
      </c>
      <c r="B32" s="51">
        <v>46232.0</v>
      </c>
      <c r="C32" s="52" t="s">
        <v>74</v>
      </c>
      <c r="D32" s="52">
        <v>300.0</v>
      </c>
      <c r="E32" s="54">
        <v>4036.0</v>
      </c>
      <c r="F32" s="52">
        <v>285.0</v>
      </c>
      <c r="G32" s="52">
        <v>5.0</v>
      </c>
      <c r="H32" s="52">
        <v>2.0</v>
      </c>
      <c r="I32" s="52">
        <v>4.0</v>
      </c>
      <c r="J32" s="52">
        <v>19.0</v>
      </c>
      <c r="K32" s="52">
        <v>53.0</v>
      </c>
      <c r="L32" s="52">
        <v>3.0</v>
      </c>
      <c r="M32" s="49">
        <f t="shared" si="9"/>
        <v>0.07061446977</v>
      </c>
      <c r="N32" s="50">
        <f t="shared" si="10"/>
        <v>1.052631579</v>
      </c>
      <c r="O32" s="50">
        <f t="shared" si="11"/>
        <v>74.33102081</v>
      </c>
      <c r="P32" s="20"/>
      <c r="Q32" s="3"/>
    </row>
    <row r="33">
      <c r="A33" s="14" t="s">
        <v>77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14" t="s">
        <v>78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75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14" t="s">
        <v>80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57"/>
      <c r="N36" s="60"/>
      <c r="O36" s="57"/>
      <c r="P36" s="20"/>
      <c r="Q36" s="3"/>
    </row>
    <row r="37">
      <c r="A37" s="14" t="s">
        <v>81</v>
      </c>
      <c r="B37" s="48">
        <v>46232.0</v>
      </c>
      <c r="C37" s="16" t="s">
        <v>69</v>
      </c>
      <c r="D37" s="16">
        <v>300.0</v>
      </c>
      <c r="E37" s="15">
        <v>2604.0</v>
      </c>
      <c r="F37" s="16">
        <v>226.0</v>
      </c>
      <c r="G37" s="16">
        <v>53.0</v>
      </c>
      <c r="H37" s="16">
        <v>0.0</v>
      </c>
      <c r="I37" s="16">
        <v>29.0</v>
      </c>
      <c r="J37" s="16">
        <v>3.0</v>
      </c>
      <c r="K37" s="16">
        <v>11.0</v>
      </c>
      <c r="L37" s="16">
        <v>0.0</v>
      </c>
      <c r="M37" s="49">
        <f t="shared" ref="M37:M39" si="12">F37/E37</f>
        <v>0.08678955453</v>
      </c>
      <c r="N37" s="32">
        <f t="shared" ref="N37:N39" si="13">D37/F37</f>
        <v>1.327433628</v>
      </c>
      <c r="O37" s="50">
        <f t="shared" ref="O37:O39" si="14">D37/E37*1000</f>
        <v>115.2073733</v>
      </c>
      <c r="P37" s="20"/>
      <c r="Q37" s="3"/>
    </row>
    <row r="38">
      <c r="A38" s="14" t="s">
        <v>27</v>
      </c>
      <c r="B38" s="48">
        <v>46232.0</v>
      </c>
      <c r="C38" s="16" t="s">
        <v>69</v>
      </c>
      <c r="D38" s="16">
        <v>200.0</v>
      </c>
      <c r="E38" s="15">
        <v>880.0</v>
      </c>
      <c r="F38" s="16">
        <v>28.0</v>
      </c>
      <c r="G38" s="16">
        <v>3.0</v>
      </c>
      <c r="H38" s="16">
        <v>0.0</v>
      </c>
      <c r="I38" s="16">
        <v>1.0</v>
      </c>
      <c r="J38" s="16">
        <v>1.0</v>
      </c>
      <c r="K38" s="16">
        <v>5.0</v>
      </c>
      <c r="L38" s="16">
        <v>0.0</v>
      </c>
      <c r="M38" s="49">
        <f t="shared" si="12"/>
        <v>0.03181818182</v>
      </c>
      <c r="N38" s="32">
        <f t="shared" si="13"/>
        <v>7.142857143</v>
      </c>
      <c r="O38" s="50">
        <f t="shared" si="14"/>
        <v>227.2727273</v>
      </c>
      <c r="P38" s="20"/>
      <c r="Q38" s="3"/>
    </row>
    <row r="39">
      <c r="A39" s="14" t="s">
        <v>27</v>
      </c>
      <c r="B39" s="51">
        <v>46233.0</v>
      </c>
      <c r="C39" s="52" t="s">
        <v>69</v>
      </c>
      <c r="D39" s="52">
        <v>150.0</v>
      </c>
      <c r="E39" s="54">
        <v>975.0</v>
      </c>
      <c r="F39" s="52">
        <v>75.0</v>
      </c>
      <c r="G39" s="52">
        <v>31.0</v>
      </c>
      <c r="H39" s="52">
        <v>0.0</v>
      </c>
      <c r="I39" s="52">
        <v>10.0</v>
      </c>
      <c r="J39" s="52">
        <v>0.0</v>
      </c>
      <c r="K39" s="52">
        <v>6.0</v>
      </c>
      <c r="L39" s="52">
        <v>0.0</v>
      </c>
      <c r="M39" s="49">
        <f t="shared" si="12"/>
        <v>0.07692307692</v>
      </c>
      <c r="N39" s="50">
        <f t="shared" si="13"/>
        <v>2</v>
      </c>
      <c r="O39" s="50">
        <f t="shared" si="14"/>
        <v>153.8461538</v>
      </c>
      <c r="P39" s="20"/>
      <c r="Q39" s="3"/>
    </row>
    <row r="40">
      <c r="A40" s="14" t="s">
        <v>81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20"/>
      <c r="Q40" s="3"/>
    </row>
    <row r="41">
      <c r="A41" s="14" t="s">
        <v>38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20"/>
      <c r="Q41" s="3"/>
    </row>
    <row r="42">
      <c r="A42" s="14" t="s">
        <v>73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57"/>
      <c r="N42" s="60"/>
      <c r="O42" s="57"/>
      <c r="P42" s="20"/>
      <c r="Q42" s="3"/>
    </row>
    <row r="43">
      <c r="A43" s="16" t="s">
        <v>57</v>
      </c>
      <c r="B43" s="36"/>
      <c r="C43" s="36"/>
      <c r="D43" s="28">
        <f t="shared" ref="D43:L43" si="15">SUM(D29:D42)</f>
        <v>1550</v>
      </c>
      <c r="E43" s="28">
        <f t="shared" si="15"/>
        <v>13043</v>
      </c>
      <c r="F43" s="25">
        <f t="shared" si="15"/>
        <v>720</v>
      </c>
      <c r="G43" s="12">
        <f t="shared" si="15"/>
        <v>117</v>
      </c>
      <c r="H43" s="12">
        <f t="shared" si="15"/>
        <v>4</v>
      </c>
      <c r="I43" s="12">
        <f t="shared" si="15"/>
        <v>53</v>
      </c>
      <c r="J43" s="12">
        <f t="shared" si="15"/>
        <v>25</v>
      </c>
      <c r="K43" s="12">
        <f t="shared" si="15"/>
        <v>87</v>
      </c>
      <c r="L43" s="12">
        <f t="shared" si="15"/>
        <v>5</v>
      </c>
      <c r="M43" s="17">
        <f>F43/E43</f>
        <v>0.05520202407</v>
      </c>
      <c r="N43" s="32">
        <f>D43/F43</f>
        <v>2.152777778</v>
      </c>
      <c r="O43" s="32">
        <f>D43/E43*1000</f>
        <v>118.8376907</v>
      </c>
      <c r="P43" s="20"/>
      <c r="Q43" s="3"/>
    </row>
    <row r="44">
      <c r="A44" s="16" t="s">
        <v>58</v>
      </c>
      <c r="B44" s="36"/>
      <c r="C44" s="36"/>
      <c r="D44" s="53">
        <f>B47*1.2</f>
        <v>2157.6</v>
      </c>
      <c r="E44" s="28"/>
      <c r="F44" s="25"/>
      <c r="G44" s="12"/>
      <c r="H44" s="12"/>
      <c r="I44" s="12"/>
      <c r="J44" s="12"/>
      <c r="K44" s="12"/>
      <c r="L44" s="12"/>
      <c r="M44" s="17"/>
      <c r="N44" s="32"/>
      <c r="O44" s="32"/>
      <c r="P44" s="20"/>
      <c r="Q44" s="3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55"/>
      <c r="N45" s="56"/>
      <c r="O45" s="56"/>
      <c r="P45" s="20"/>
      <c r="Q45" s="3"/>
    </row>
    <row r="46">
      <c r="A46" s="20"/>
      <c r="B46" s="40">
        <v>1550.0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3"/>
    </row>
    <row r="47">
      <c r="A47" s="41" t="s">
        <v>59</v>
      </c>
      <c r="B47" s="42">
        <f>B46*C47</f>
        <v>1798</v>
      </c>
      <c r="C47" s="43">
        <v>1.16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3"/>
    </row>
    <row r="48">
      <c r="A48" s="41" t="s">
        <v>61</v>
      </c>
      <c r="B48" s="44">
        <v>13043.0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3"/>
    </row>
    <row r="49">
      <c r="A49" s="58" t="s">
        <v>44</v>
      </c>
      <c r="B49" s="59">
        <v>0.0552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0"/>
      <c r="Q49" s="3"/>
    </row>
    <row r="50">
      <c r="A50" s="58" t="s">
        <v>79</v>
      </c>
      <c r="B50" s="61">
        <f>B47/F43</f>
        <v>2.497222222</v>
      </c>
      <c r="C50" s="62">
        <f>B50/C47</f>
        <v>2.152777778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0"/>
      <c r="Q50" s="3"/>
    </row>
    <row r="51">
      <c r="A51" s="58" t="s">
        <v>64</v>
      </c>
      <c r="B51" s="63">
        <f>B47/B48*1000</f>
        <v>137.8517212</v>
      </c>
      <c r="C51" s="64">
        <f>B51/C47</f>
        <v>118.8376907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0"/>
      <c r="Q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0"/>
      <c r="Q52" s="3"/>
    </row>
    <row r="53">
      <c r="P53" s="20"/>
      <c r="Q53" s="3"/>
    </row>
    <row r="54">
      <c r="P54" s="20"/>
      <c r="Q54" s="3"/>
    </row>
    <row r="55">
      <c r="P55" s="20"/>
      <c r="Q55" s="3"/>
    </row>
    <row r="56">
      <c r="P56" s="20"/>
      <c r="Q56" s="3"/>
    </row>
    <row r="57" ht="1.5" customHeight="1"/>
    <row r="58" ht="1.5" customHeight="1"/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6"/>
      <c r="L63" s="66"/>
      <c r="M63" s="65"/>
      <c r="N63" s="65"/>
      <c r="O63" s="65"/>
    </row>
  </sheetData>
  <mergeCells count="29">
    <mergeCell ref="H32:H36"/>
    <mergeCell ref="I32:I36"/>
    <mergeCell ref="J32:J36"/>
    <mergeCell ref="K32:K36"/>
    <mergeCell ref="L32:L36"/>
    <mergeCell ref="M32:M36"/>
    <mergeCell ref="N32:N36"/>
    <mergeCell ref="O32:O36"/>
    <mergeCell ref="A7:C7"/>
    <mergeCell ref="B32:B36"/>
    <mergeCell ref="C32:C36"/>
    <mergeCell ref="D32:D36"/>
    <mergeCell ref="E32:E36"/>
    <mergeCell ref="F32:F36"/>
    <mergeCell ref="G32:G36"/>
    <mergeCell ref="I39:I42"/>
    <mergeCell ref="J39:J42"/>
    <mergeCell ref="K39:K42"/>
    <mergeCell ref="L39:L42"/>
    <mergeCell ref="M39:M42"/>
    <mergeCell ref="N39:N42"/>
    <mergeCell ref="O39:O42"/>
    <mergeCell ref="B39:B42"/>
    <mergeCell ref="C39:C42"/>
    <mergeCell ref="D39:D42"/>
    <mergeCell ref="E39:E42"/>
    <mergeCell ref="F39:F42"/>
    <mergeCell ref="G39:G42"/>
    <mergeCell ref="H39:H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46177.0</v>
      </c>
      <c r="C4" s="14" t="s">
        <v>29</v>
      </c>
      <c r="D4" s="15">
        <v>103.0</v>
      </c>
      <c r="E4" s="16">
        <v>8.0</v>
      </c>
      <c r="F4" s="16">
        <v>4.0</v>
      </c>
      <c r="G4" s="16">
        <v>0.0</v>
      </c>
      <c r="H4" s="16">
        <v>1.0</v>
      </c>
      <c r="I4" s="12">
        <f t="shared" ref="I4:I6" si="1">sum(E4:H4)</f>
        <v>13</v>
      </c>
      <c r="J4" s="17">
        <f t="shared" ref="J4:J7" si="2">I4/D4</f>
        <v>0.1262135922</v>
      </c>
      <c r="K4" s="16">
        <v>2.0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46182.0</v>
      </c>
      <c r="C5" s="14" t="s">
        <v>38</v>
      </c>
      <c r="D5" s="16">
        <v>64.0</v>
      </c>
      <c r="E5" s="16">
        <v>5.0</v>
      </c>
      <c r="F5" s="16">
        <v>1.0</v>
      </c>
      <c r="G5" s="16">
        <v>0.0</v>
      </c>
      <c r="H5" s="16">
        <v>2.0</v>
      </c>
      <c r="I5" s="12">
        <f t="shared" si="1"/>
        <v>8</v>
      </c>
      <c r="J5" s="17">
        <f t="shared" si="2"/>
        <v>0.125</v>
      </c>
      <c r="K5" s="16">
        <v>0.0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46188.0</v>
      </c>
      <c r="C6" s="14" t="s">
        <v>50</v>
      </c>
      <c r="D6" s="16">
        <v>514.0</v>
      </c>
      <c r="E6" s="16">
        <v>34.0</v>
      </c>
      <c r="F6" s="16">
        <v>2.0</v>
      </c>
      <c r="G6" s="16">
        <v>9.0</v>
      </c>
      <c r="H6" s="16">
        <v>14.0</v>
      </c>
      <c r="I6" s="12">
        <f t="shared" si="1"/>
        <v>59</v>
      </c>
      <c r="J6" s="17">
        <f t="shared" si="2"/>
        <v>0.1147859922</v>
      </c>
      <c r="K6" s="16">
        <v>3.0</v>
      </c>
      <c r="L6" s="20"/>
      <c r="M6" s="20"/>
      <c r="N6" s="20"/>
      <c r="O6" s="20"/>
      <c r="P6" s="20"/>
      <c r="Q6" s="3"/>
    </row>
    <row r="7">
      <c r="A7" s="22" t="s">
        <v>51</v>
      </c>
      <c r="B7" s="23"/>
      <c r="C7" s="24"/>
      <c r="D7" s="25">
        <f t="shared" ref="D7:H7" si="3">SUM(D4:D6)</f>
        <v>681</v>
      </c>
      <c r="E7" s="12">
        <f t="shared" si="3"/>
        <v>47</v>
      </c>
      <c r="F7" s="12">
        <f t="shared" si="3"/>
        <v>7</v>
      </c>
      <c r="G7" s="12">
        <f t="shared" si="3"/>
        <v>9</v>
      </c>
      <c r="H7" s="12">
        <f t="shared" si="3"/>
        <v>17</v>
      </c>
      <c r="I7" s="12">
        <f>sum(I4:I6)</f>
        <v>80</v>
      </c>
      <c r="J7" s="17">
        <f t="shared" si="2"/>
        <v>0.1174743025</v>
      </c>
      <c r="K7" s="12">
        <f>SUM(K4:K6)</f>
        <v>5</v>
      </c>
      <c r="L7" s="20"/>
      <c r="M7" s="20"/>
      <c r="N7" s="20"/>
      <c r="O7" s="20"/>
      <c r="P7" s="20"/>
      <c r="Q7" s="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7" t="s">
        <v>36</v>
      </c>
      <c r="B11" s="27" t="s">
        <v>37</v>
      </c>
      <c r="C11" s="27" t="s">
        <v>39</v>
      </c>
      <c r="D11" s="27" t="s">
        <v>40</v>
      </c>
      <c r="E11" s="27" t="s">
        <v>30</v>
      </c>
      <c r="F11" s="27" t="s">
        <v>41</v>
      </c>
      <c r="G11" s="27" t="s">
        <v>42</v>
      </c>
      <c r="H11" s="27" t="s">
        <v>16</v>
      </c>
      <c r="I11" s="27" t="s">
        <v>18</v>
      </c>
      <c r="J11" s="27" t="s">
        <v>43</v>
      </c>
      <c r="K11" s="27" t="s">
        <v>17</v>
      </c>
      <c r="L11" s="27" t="s">
        <v>19</v>
      </c>
      <c r="M11" s="27" t="s">
        <v>44</v>
      </c>
      <c r="N11" s="27" t="s">
        <v>45</v>
      </c>
      <c r="O11" s="27" t="s">
        <v>46</v>
      </c>
      <c r="P11" s="20"/>
      <c r="Q11" s="3"/>
    </row>
    <row r="12">
      <c r="A12" s="14" t="s">
        <v>29</v>
      </c>
      <c r="B12" s="14" t="s">
        <v>53</v>
      </c>
      <c r="C12" s="14" t="s">
        <v>53</v>
      </c>
      <c r="D12" s="14" t="s">
        <v>53</v>
      </c>
      <c r="E12" s="14" t="s">
        <v>53</v>
      </c>
      <c r="F12" s="14" t="s">
        <v>53</v>
      </c>
      <c r="G12" s="14" t="s">
        <v>53</v>
      </c>
      <c r="H12" s="14" t="s">
        <v>53</v>
      </c>
      <c r="I12" s="14" t="s">
        <v>53</v>
      </c>
      <c r="J12" s="14" t="s">
        <v>53</v>
      </c>
      <c r="K12" s="14" t="s">
        <v>53</v>
      </c>
      <c r="L12" s="14" t="s">
        <v>53</v>
      </c>
      <c r="M12" s="14" t="s">
        <v>53</v>
      </c>
      <c r="N12" s="14" t="s">
        <v>53</v>
      </c>
      <c r="O12" s="14" t="s">
        <v>53</v>
      </c>
      <c r="P12" s="20"/>
      <c r="Q12" s="3"/>
    </row>
    <row r="13">
      <c r="A13" s="14" t="s">
        <v>38</v>
      </c>
      <c r="B13" s="14" t="s">
        <v>53</v>
      </c>
      <c r="C13" s="14" t="s">
        <v>53</v>
      </c>
      <c r="D13" s="14" t="s">
        <v>53</v>
      </c>
      <c r="E13" s="14" t="s">
        <v>53</v>
      </c>
      <c r="F13" s="14" t="s">
        <v>53</v>
      </c>
      <c r="G13" s="14" t="s">
        <v>53</v>
      </c>
      <c r="H13" s="14" t="s">
        <v>53</v>
      </c>
      <c r="I13" s="14" t="s">
        <v>53</v>
      </c>
      <c r="J13" s="14" t="s">
        <v>53</v>
      </c>
      <c r="K13" s="14" t="s">
        <v>53</v>
      </c>
      <c r="L13" s="14" t="s">
        <v>53</v>
      </c>
      <c r="M13" s="14" t="s">
        <v>53</v>
      </c>
      <c r="N13" s="14" t="s">
        <v>53</v>
      </c>
      <c r="O13" s="14" t="s">
        <v>53</v>
      </c>
      <c r="P13" s="20"/>
      <c r="Q13" s="3"/>
    </row>
    <row r="14">
      <c r="A14" s="14" t="s">
        <v>50</v>
      </c>
      <c r="B14" s="14" t="s">
        <v>62</v>
      </c>
      <c r="C14" s="14" t="s">
        <v>48</v>
      </c>
      <c r="D14" s="14">
        <v>490.37</v>
      </c>
      <c r="E14" s="38">
        <v>5859.0</v>
      </c>
      <c r="F14" s="14">
        <v>373.0</v>
      </c>
      <c r="G14" s="14">
        <v>32.0</v>
      </c>
      <c r="H14" s="14">
        <v>2.0</v>
      </c>
      <c r="I14" s="14">
        <v>11.0</v>
      </c>
      <c r="J14" s="14">
        <v>3.0</v>
      </c>
      <c r="K14" s="14">
        <v>7.0</v>
      </c>
      <c r="L14" s="14">
        <f>sum(G14:K14)</f>
        <v>55</v>
      </c>
      <c r="M14" s="33">
        <f t="shared" ref="M14:M15" si="6">F14/E14</f>
        <v>0.06366274108</v>
      </c>
      <c r="N14" s="35">
        <f t="shared" ref="N14:N15" si="7">D14/F14</f>
        <v>1.314664879</v>
      </c>
      <c r="O14" s="35">
        <f t="shared" ref="O14:O15" si="8">D14/E14*1000</f>
        <v>83.69516982</v>
      </c>
      <c r="P14" s="20"/>
      <c r="Q14" s="3"/>
    </row>
    <row r="15">
      <c r="A15" s="16" t="s">
        <v>67</v>
      </c>
      <c r="B15" s="36"/>
      <c r="C15" s="36"/>
      <c r="D15" s="37">
        <f t="shared" ref="D15:E15" si="4">SUM(D12:D14)</f>
        <v>490.37</v>
      </c>
      <c r="E15" s="28">
        <f t="shared" si="4"/>
        <v>5859</v>
      </c>
      <c r="F15" s="25">
        <f t="shared" ref="F15:J15" si="5">sum(F12:F14)</f>
        <v>373</v>
      </c>
      <c r="G15" s="12">
        <f t="shared" si="5"/>
        <v>32</v>
      </c>
      <c r="H15" s="12">
        <f t="shared" si="5"/>
        <v>2</v>
      </c>
      <c r="I15" s="12">
        <f t="shared" si="5"/>
        <v>11</v>
      </c>
      <c r="J15" s="12">
        <f t="shared" si="5"/>
        <v>3</v>
      </c>
      <c r="K15" s="12">
        <f>SUM(K12:K14)</f>
        <v>7</v>
      </c>
      <c r="L15" s="12">
        <f>sum(L12:L14)</f>
        <v>55</v>
      </c>
      <c r="M15" s="17">
        <f t="shared" si="6"/>
        <v>0.06366274108</v>
      </c>
      <c r="N15" s="32">
        <f t="shared" si="7"/>
        <v>1.314664879</v>
      </c>
      <c r="O15" s="32">
        <f t="shared" si="8"/>
        <v>83.69516982</v>
      </c>
      <c r="P15" s="20"/>
      <c r="Q15" s="3"/>
    </row>
    <row r="16">
      <c r="A16" s="16" t="s">
        <v>58</v>
      </c>
      <c r="B16" s="36"/>
      <c r="C16" s="36"/>
      <c r="D16" s="39">
        <f>B19*1.2</f>
        <v>676.7106</v>
      </c>
      <c r="E16" s="28"/>
      <c r="F16" s="25"/>
      <c r="G16" s="12"/>
      <c r="H16" s="12"/>
      <c r="I16" s="12"/>
      <c r="J16" s="12"/>
      <c r="K16" s="12"/>
      <c r="L16" s="12"/>
      <c r="M16" s="17"/>
      <c r="N16" s="32"/>
      <c r="O16" s="32"/>
      <c r="P16" s="20"/>
      <c r="Q16" s="3"/>
    </row>
    <row r="17">
      <c r="A17" s="20"/>
      <c r="B17" s="20"/>
      <c r="C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3"/>
    </row>
    <row r="18">
      <c r="A18" s="20"/>
      <c r="B18" s="40">
        <v>490.37</v>
      </c>
      <c r="C18" s="26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41" t="s">
        <v>59</v>
      </c>
      <c r="B19" s="42">
        <f>B18*C19</f>
        <v>563.9255</v>
      </c>
      <c r="C19" s="43">
        <v>1.15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60</v>
      </c>
      <c r="B20" s="44">
        <v>55.0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61</v>
      </c>
      <c r="B21" s="44">
        <v>5859.0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63</v>
      </c>
      <c r="B22" s="45">
        <f>B19/B20</f>
        <v>10.25319091</v>
      </c>
      <c r="C22" s="40">
        <f>B22/C19</f>
        <v>8.915818182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64</v>
      </c>
      <c r="B23" s="46">
        <f>B19/B21*1000</f>
        <v>96.2494453</v>
      </c>
      <c r="C23" s="40">
        <f>B23/C19</f>
        <v>83.69516982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 t="s">
        <v>65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7" t="s">
        <v>36</v>
      </c>
      <c r="B27" s="27" t="s">
        <v>37</v>
      </c>
      <c r="C27" s="27" t="s">
        <v>39</v>
      </c>
      <c r="D27" s="27" t="s">
        <v>40</v>
      </c>
      <c r="E27" s="27" t="s">
        <v>30</v>
      </c>
      <c r="F27" s="27" t="s">
        <v>41</v>
      </c>
      <c r="G27" s="27" t="s">
        <v>42</v>
      </c>
      <c r="H27" s="27" t="s">
        <v>16</v>
      </c>
      <c r="I27" s="27" t="s">
        <v>18</v>
      </c>
      <c r="J27" s="27" t="s">
        <v>43</v>
      </c>
      <c r="K27" s="47" t="s">
        <v>66</v>
      </c>
      <c r="L27" s="47" t="s">
        <v>68</v>
      </c>
      <c r="M27" s="27" t="s">
        <v>44</v>
      </c>
      <c r="N27" s="27" t="s">
        <v>45</v>
      </c>
      <c r="O27" s="27" t="s">
        <v>46</v>
      </c>
      <c r="P27" s="20"/>
      <c r="Q27" s="3"/>
    </row>
    <row r="28">
      <c r="A28" s="14" t="s">
        <v>29</v>
      </c>
      <c r="B28" s="48">
        <v>46177.0</v>
      </c>
      <c r="C28" s="16" t="s">
        <v>69</v>
      </c>
      <c r="D28" s="16">
        <v>150.0</v>
      </c>
      <c r="E28" s="15">
        <v>792.0</v>
      </c>
      <c r="F28" s="16">
        <v>24.0</v>
      </c>
      <c r="G28" s="16">
        <v>3.0</v>
      </c>
      <c r="H28" s="16">
        <v>2.0</v>
      </c>
      <c r="I28" s="16">
        <v>0.0</v>
      </c>
      <c r="J28" s="16">
        <v>2.0</v>
      </c>
      <c r="K28" s="16">
        <v>2.0</v>
      </c>
      <c r="L28" s="16">
        <v>0.0</v>
      </c>
      <c r="M28" s="49">
        <f t="shared" ref="M28:M29" si="9">F28/E28</f>
        <v>0.0303030303</v>
      </c>
      <c r="N28" s="32">
        <f t="shared" ref="N28:N29" si="10">D28/F28</f>
        <v>6.25</v>
      </c>
      <c r="O28" s="50">
        <f t="shared" ref="O28:O29" si="11">D28/E28*1000</f>
        <v>189.3939394</v>
      </c>
      <c r="P28" s="20"/>
      <c r="Q28" s="3"/>
    </row>
    <row r="29">
      <c r="A29" s="14" t="s">
        <v>29</v>
      </c>
      <c r="B29" s="51">
        <v>46178.0</v>
      </c>
      <c r="C29" s="52" t="s">
        <v>74</v>
      </c>
      <c r="D29" s="52">
        <v>150.0</v>
      </c>
      <c r="E29" s="54">
        <v>1389.0</v>
      </c>
      <c r="F29" s="52">
        <v>65.0</v>
      </c>
      <c r="G29" s="52">
        <v>10.0</v>
      </c>
      <c r="H29" s="52">
        <v>1.0</v>
      </c>
      <c r="I29" s="52">
        <v>7.0</v>
      </c>
      <c r="J29" s="52">
        <v>11.0</v>
      </c>
      <c r="K29" s="52">
        <v>11.0</v>
      </c>
      <c r="L29" s="52">
        <v>1.0</v>
      </c>
      <c r="M29" s="49">
        <f t="shared" si="9"/>
        <v>0.0467962563</v>
      </c>
      <c r="N29" s="50">
        <f t="shared" si="10"/>
        <v>2.307692308</v>
      </c>
      <c r="O29" s="50">
        <f t="shared" si="11"/>
        <v>107.9913607</v>
      </c>
      <c r="P29" s="20"/>
      <c r="Q29" s="3"/>
    </row>
    <row r="30">
      <c r="A30" s="14" t="s">
        <v>70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20"/>
      <c r="Q30" s="3"/>
    </row>
    <row r="31">
      <c r="A31" s="14" t="s">
        <v>84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20"/>
      <c r="Q31" s="3"/>
    </row>
    <row r="32">
      <c r="A32" s="14" t="s">
        <v>85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14" t="s">
        <v>73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14" t="s">
        <v>86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87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14" t="s">
        <v>81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20"/>
      <c r="Q36" s="3"/>
    </row>
    <row r="37">
      <c r="A37" s="14" t="s">
        <v>75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20"/>
      <c r="Q37" s="3"/>
    </row>
    <row r="38">
      <c r="A38" s="14" t="s">
        <v>80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20"/>
      <c r="Q38" s="3"/>
    </row>
    <row r="39">
      <c r="A39" s="14" t="s">
        <v>75</v>
      </c>
      <c r="B39" s="51">
        <v>46184.0</v>
      </c>
      <c r="C39" s="52" t="s">
        <v>74</v>
      </c>
      <c r="D39" s="52">
        <v>150.0</v>
      </c>
      <c r="E39" s="54">
        <v>1479.0</v>
      </c>
      <c r="F39" s="52">
        <v>105.0</v>
      </c>
      <c r="G39" s="52">
        <v>5.0</v>
      </c>
      <c r="H39" s="52">
        <v>2.0</v>
      </c>
      <c r="I39" s="52">
        <v>2.0</v>
      </c>
      <c r="J39" s="52">
        <v>12.0</v>
      </c>
      <c r="K39" s="52">
        <v>16.0</v>
      </c>
      <c r="L39" s="52">
        <v>0.0</v>
      </c>
      <c r="M39" s="49">
        <f>F39/E39</f>
        <v>0.07099391481</v>
      </c>
      <c r="N39" s="50">
        <f>D39/F39</f>
        <v>1.428571429</v>
      </c>
      <c r="O39" s="50">
        <f>D39/E39*1000</f>
        <v>101.4198783</v>
      </c>
      <c r="P39" s="20"/>
      <c r="Q39" s="3"/>
    </row>
    <row r="40">
      <c r="A40" s="14" t="s">
        <v>38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20"/>
      <c r="Q40" s="3"/>
    </row>
    <row r="41">
      <c r="A41" s="14" t="s">
        <v>29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20"/>
      <c r="Q41" s="3"/>
    </row>
    <row r="42">
      <c r="A42" s="14" t="s">
        <v>73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20"/>
      <c r="Q42" s="3"/>
    </row>
    <row r="43">
      <c r="A43" s="14" t="s">
        <v>70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20"/>
      <c r="Q43" s="3"/>
    </row>
    <row r="44">
      <c r="A44" s="14" t="s">
        <v>80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20"/>
      <c r="Q44" s="3"/>
    </row>
    <row r="45">
      <c r="A45" s="14" t="s">
        <v>87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0"/>
      <c r="Q45" s="3"/>
    </row>
    <row r="46">
      <c r="A46" s="14" t="s">
        <v>84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20"/>
      <c r="Q46" s="3"/>
    </row>
    <row r="47">
      <c r="A47" s="14" t="s">
        <v>81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20"/>
      <c r="Q47" s="3"/>
    </row>
    <row r="48">
      <c r="A48" s="14" t="s">
        <v>85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20"/>
      <c r="Q48" s="3"/>
    </row>
    <row r="49">
      <c r="A49" s="14" t="s">
        <v>50</v>
      </c>
      <c r="B49" s="48">
        <v>46188.0</v>
      </c>
      <c r="C49" s="16" t="s">
        <v>69</v>
      </c>
      <c r="D49" s="16">
        <v>150.0</v>
      </c>
      <c r="E49" s="15">
        <v>792.0</v>
      </c>
      <c r="F49" s="16">
        <v>37.0</v>
      </c>
      <c r="G49" s="16">
        <v>0.0</v>
      </c>
      <c r="H49" s="16">
        <v>0.0</v>
      </c>
      <c r="I49" s="16">
        <v>1.0</v>
      </c>
      <c r="J49" s="16">
        <v>0.0</v>
      </c>
      <c r="K49" s="16">
        <v>2.0</v>
      </c>
      <c r="L49" s="16">
        <v>0.0</v>
      </c>
      <c r="M49" s="49">
        <f t="shared" ref="M49:M50" si="12">F49/E49</f>
        <v>0.04671717172</v>
      </c>
      <c r="N49" s="32">
        <f t="shared" ref="N49:N50" si="13">D49/F49</f>
        <v>4.054054054</v>
      </c>
      <c r="O49" s="50">
        <f t="shared" ref="O49:O50" si="14">D49/E49*1000</f>
        <v>189.3939394</v>
      </c>
      <c r="P49" s="20"/>
      <c r="Q49" s="3"/>
    </row>
    <row r="50">
      <c r="A50" s="14" t="s">
        <v>93</v>
      </c>
      <c r="B50" s="51">
        <v>46188.0</v>
      </c>
      <c r="C50" s="52" t="s">
        <v>69</v>
      </c>
      <c r="D50" s="52">
        <v>150.0</v>
      </c>
      <c r="E50" s="54">
        <v>1658.0</v>
      </c>
      <c r="F50" s="52">
        <v>206.0</v>
      </c>
      <c r="G50" s="52">
        <v>44.0</v>
      </c>
      <c r="H50" s="52">
        <v>2.0</v>
      </c>
      <c r="I50" s="52">
        <v>15.0</v>
      </c>
      <c r="J50" s="52">
        <v>13.0</v>
      </c>
      <c r="K50" s="52">
        <v>49.0</v>
      </c>
      <c r="L50" s="52">
        <v>0.0</v>
      </c>
      <c r="M50" s="49">
        <f t="shared" si="12"/>
        <v>0.1242460796</v>
      </c>
      <c r="N50" s="50">
        <f t="shared" si="13"/>
        <v>0.7281553398</v>
      </c>
      <c r="O50" s="50">
        <f t="shared" si="14"/>
        <v>90.47044632</v>
      </c>
      <c r="P50" s="20"/>
      <c r="Q50" s="3"/>
    </row>
    <row r="51">
      <c r="A51" s="14" t="s">
        <v>72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57"/>
      <c r="N51" s="60"/>
      <c r="O51" s="57"/>
      <c r="P51" s="20"/>
      <c r="Q51" s="3"/>
    </row>
    <row r="52">
      <c r="A52" s="16" t="s">
        <v>67</v>
      </c>
      <c r="B52" s="36"/>
      <c r="C52" s="36"/>
      <c r="D52" s="28">
        <f t="shared" ref="D52:E52" si="15">SUM(D28:D51)</f>
        <v>750</v>
      </c>
      <c r="E52" s="28">
        <f t="shared" si="15"/>
        <v>6110</v>
      </c>
      <c r="F52" s="25">
        <f t="shared" ref="F52:L52" si="16">SUM(F28:F50)</f>
        <v>437</v>
      </c>
      <c r="G52" s="12">
        <f t="shared" si="16"/>
        <v>62</v>
      </c>
      <c r="H52" s="12">
        <f t="shared" si="16"/>
        <v>7</v>
      </c>
      <c r="I52" s="12">
        <f t="shared" si="16"/>
        <v>25</v>
      </c>
      <c r="J52" s="12">
        <f t="shared" si="16"/>
        <v>38</v>
      </c>
      <c r="K52" s="12">
        <f t="shared" si="16"/>
        <v>80</v>
      </c>
      <c r="L52" s="12">
        <f t="shared" si="16"/>
        <v>1</v>
      </c>
      <c r="M52" s="17">
        <f>F52/E52</f>
        <v>0.07152209493</v>
      </c>
      <c r="N52" s="32">
        <f>D52/F52</f>
        <v>1.71624714</v>
      </c>
      <c r="O52" s="32">
        <f>D52/E52*1000</f>
        <v>122.7495908</v>
      </c>
      <c r="P52" s="20"/>
      <c r="Q52" s="3"/>
    </row>
    <row r="53">
      <c r="A53" s="16" t="s">
        <v>58</v>
      </c>
      <c r="B53" s="36"/>
      <c r="C53" s="36"/>
      <c r="D53" s="68">
        <f>B56*1.2</f>
        <v>1035</v>
      </c>
      <c r="E53" s="28"/>
      <c r="F53" s="25"/>
      <c r="G53" s="12"/>
      <c r="H53" s="12"/>
      <c r="I53" s="12"/>
      <c r="J53" s="12"/>
      <c r="K53" s="12"/>
      <c r="L53" s="12"/>
      <c r="M53" s="17"/>
      <c r="N53" s="32"/>
      <c r="O53" s="32"/>
      <c r="P53" s="20"/>
      <c r="Q53" s="3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55"/>
      <c r="N54" s="56"/>
      <c r="O54" s="56"/>
      <c r="P54" s="20"/>
      <c r="Q54" s="3"/>
    </row>
    <row r="55">
      <c r="A55" s="20"/>
      <c r="B55" s="40">
        <v>750.0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3"/>
    </row>
    <row r="56">
      <c r="A56" s="41" t="s">
        <v>59</v>
      </c>
      <c r="B56" s="42">
        <f>B55*C56</f>
        <v>862.5</v>
      </c>
      <c r="C56" s="43">
        <v>1.15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3"/>
    </row>
    <row r="57">
      <c r="A57" s="41" t="s">
        <v>61</v>
      </c>
      <c r="B57" s="44">
        <v>6110.0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3"/>
    </row>
    <row r="58">
      <c r="A58" s="58" t="s">
        <v>44</v>
      </c>
      <c r="B58" s="59">
        <v>0.0715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20"/>
      <c r="Q58" s="3"/>
    </row>
    <row r="59">
      <c r="A59" s="58" t="s">
        <v>79</v>
      </c>
      <c r="B59" s="61">
        <f>B56/F52</f>
        <v>1.973684211</v>
      </c>
      <c r="C59" s="62">
        <f>B59/C56</f>
        <v>1.71624714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20"/>
      <c r="Q59" s="3"/>
    </row>
    <row r="60">
      <c r="A60" s="58" t="s">
        <v>64</v>
      </c>
      <c r="B60" s="63">
        <f>B56/B57*1000</f>
        <v>141.1620295</v>
      </c>
      <c r="C60" s="64">
        <f>B60/C56</f>
        <v>122.7495908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20"/>
      <c r="Q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20"/>
      <c r="Q61" s="3"/>
    </row>
    <row r="62">
      <c r="P62" s="20"/>
      <c r="Q62" s="3"/>
    </row>
    <row r="63">
      <c r="P63" s="20"/>
      <c r="Q63" s="3"/>
    </row>
    <row r="64">
      <c r="P64" s="20"/>
      <c r="Q64" s="3"/>
    </row>
    <row r="65">
      <c r="P65" s="20"/>
      <c r="Q65" s="3"/>
    </row>
    <row r="66" ht="1.5" customHeight="1"/>
    <row r="67" ht="1.5" customHeight="1"/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6"/>
      <c r="L72" s="66"/>
      <c r="M72" s="65"/>
      <c r="N72" s="65"/>
      <c r="O72" s="65"/>
    </row>
  </sheetData>
  <mergeCells count="43">
    <mergeCell ref="H29:H38"/>
    <mergeCell ref="I29:I38"/>
    <mergeCell ref="J29:J38"/>
    <mergeCell ref="K29:K38"/>
    <mergeCell ref="L29:L38"/>
    <mergeCell ref="M29:M38"/>
    <mergeCell ref="N29:N38"/>
    <mergeCell ref="O29:O38"/>
    <mergeCell ref="A7:C7"/>
    <mergeCell ref="B29:B38"/>
    <mergeCell ref="C29:C38"/>
    <mergeCell ref="D29:D38"/>
    <mergeCell ref="E29:E38"/>
    <mergeCell ref="F29:F38"/>
    <mergeCell ref="G29:G38"/>
    <mergeCell ref="I39:I48"/>
    <mergeCell ref="J39:J48"/>
    <mergeCell ref="K39:K48"/>
    <mergeCell ref="L39:L48"/>
    <mergeCell ref="M39:M48"/>
    <mergeCell ref="N39:N48"/>
    <mergeCell ref="O39:O48"/>
    <mergeCell ref="B39:B48"/>
    <mergeCell ref="C39:C48"/>
    <mergeCell ref="D39:D48"/>
    <mergeCell ref="E39:E48"/>
    <mergeCell ref="F39:F48"/>
    <mergeCell ref="G39:G48"/>
    <mergeCell ref="H39:H48"/>
    <mergeCell ref="I50:I51"/>
    <mergeCell ref="J50:J51"/>
    <mergeCell ref="K50:K51"/>
    <mergeCell ref="L50:L51"/>
    <mergeCell ref="M50:M51"/>
    <mergeCell ref="N50:N51"/>
    <mergeCell ref="O50:O51"/>
    <mergeCell ref="B50:B51"/>
    <mergeCell ref="C50:C51"/>
    <mergeCell ref="D50:D51"/>
    <mergeCell ref="E50:E51"/>
    <mergeCell ref="F50:F51"/>
    <mergeCell ref="G50:G51"/>
    <mergeCell ref="H50:H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46147.0</v>
      </c>
      <c r="C4" s="14" t="s">
        <v>70</v>
      </c>
      <c r="D4" s="15">
        <v>1615.0</v>
      </c>
      <c r="E4" s="16">
        <v>15.0</v>
      </c>
      <c r="F4" s="16">
        <v>2.0</v>
      </c>
      <c r="G4" s="16">
        <v>1.0</v>
      </c>
      <c r="H4" s="16">
        <v>6.0</v>
      </c>
      <c r="I4" s="12">
        <f t="shared" ref="I4:I7" si="1">sum(E4:H4)</f>
        <v>24</v>
      </c>
      <c r="J4" s="17">
        <f t="shared" ref="J4:J8" si="2">I4/D4</f>
        <v>0.01486068111</v>
      </c>
      <c r="K4" s="16">
        <v>3.0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46156.0</v>
      </c>
      <c r="C5" s="14" t="s">
        <v>71</v>
      </c>
      <c r="D5" s="16">
        <v>992.0</v>
      </c>
      <c r="E5" s="16">
        <v>9.0</v>
      </c>
      <c r="F5" s="16">
        <v>2.0</v>
      </c>
      <c r="G5" s="16">
        <v>1.0</v>
      </c>
      <c r="H5" s="16">
        <v>6.0</v>
      </c>
      <c r="I5" s="12">
        <f t="shared" si="1"/>
        <v>18</v>
      </c>
      <c r="J5" s="17">
        <f t="shared" si="2"/>
        <v>0.01814516129</v>
      </c>
      <c r="K5" s="16">
        <v>0.0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46168.0</v>
      </c>
      <c r="C6" s="14" t="s">
        <v>73</v>
      </c>
      <c r="D6" s="16">
        <v>571.0</v>
      </c>
      <c r="E6" s="16">
        <v>6.0</v>
      </c>
      <c r="F6" s="16">
        <v>1.0</v>
      </c>
      <c r="G6" s="16">
        <v>0.0</v>
      </c>
      <c r="H6" s="16">
        <v>5.0</v>
      </c>
      <c r="I6" s="12">
        <f t="shared" si="1"/>
        <v>12</v>
      </c>
      <c r="J6" s="17">
        <f t="shared" si="2"/>
        <v>0.02101576182</v>
      </c>
      <c r="K6" s="16">
        <v>0.0</v>
      </c>
      <c r="L6" s="20"/>
      <c r="M6" s="20"/>
      <c r="N6" s="20"/>
      <c r="O6" s="20"/>
      <c r="P6" s="20"/>
      <c r="Q6" s="3"/>
    </row>
    <row r="7">
      <c r="A7" s="16">
        <v>4.0</v>
      </c>
      <c r="B7" s="13">
        <v>46169.0</v>
      </c>
      <c r="C7" s="14" t="s">
        <v>75</v>
      </c>
      <c r="D7" s="16">
        <v>593.0</v>
      </c>
      <c r="E7" s="16">
        <v>8.0</v>
      </c>
      <c r="F7" s="16">
        <v>1.0</v>
      </c>
      <c r="G7" s="16">
        <v>2.0</v>
      </c>
      <c r="H7" s="16">
        <v>4.0</v>
      </c>
      <c r="I7" s="12">
        <f t="shared" si="1"/>
        <v>15</v>
      </c>
      <c r="J7" s="17">
        <f t="shared" si="2"/>
        <v>0.02529510961</v>
      </c>
      <c r="K7" s="16">
        <v>1.0</v>
      </c>
      <c r="L7" s="20"/>
      <c r="M7" s="20"/>
      <c r="N7" s="20"/>
      <c r="O7" s="20"/>
      <c r="P7" s="20"/>
      <c r="Q7" s="3"/>
    </row>
    <row r="8">
      <c r="A8" s="22" t="s">
        <v>76</v>
      </c>
      <c r="B8" s="23"/>
      <c r="C8" s="24"/>
      <c r="D8" s="25">
        <f t="shared" ref="D8:H8" si="3">SUM(D4:D7)</f>
        <v>3771</v>
      </c>
      <c r="E8" s="12">
        <f t="shared" si="3"/>
        <v>38</v>
      </c>
      <c r="F8" s="12">
        <f t="shared" si="3"/>
        <v>6</v>
      </c>
      <c r="G8" s="12">
        <f t="shared" si="3"/>
        <v>4</v>
      </c>
      <c r="H8" s="12">
        <f t="shared" si="3"/>
        <v>21</v>
      </c>
      <c r="I8" s="12">
        <f>sum(I4:I7)</f>
        <v>69</v>
      </c>
      <c r="J8" s="17">
        <f t="shared" si="2"/>
        <v>0.01829753381</v>
      </c>
      <c r="K8" s="12">
        <f>SUM(K4:K7)</f>
        <v>4</v>
      </c>
      <c r="L8" s="20"/>
      <c r="M8" s="20"/>
      <c r="N8" s="20"/>
      <c r="O8" s="20"/>
      <c r="P8" s="20"/>
      <c r="Q8" s="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0" t="s">
        <v>35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3"/>
    </row>
    <row r="12">
      <c r="A12" s="27" t="s">
        <v>36</v>
      </c>
      <c r="B12" s="27" t="s">
        <v>37</v>
      </c>
      <c r="C12" s="27" t="s">
        <v>39</v>
      </c>
      <c r="D12" s="27" t="s">
        <v>40</v>
      </c>
      <c r="E12" s="27" t="s">
        <v>30</v>
      </c>
      <c r="F12" s="27" t="s">
        <v>41</v>
      </c>
      <c r="G12" s="27" t="s">
        <v>42</v>
      </c>
      <c r="H12" s="27" t="s">
        <v>16</v>
      </c>
      <c r="I12" s="27" t="s">
        <v>18</v>
      </c>
      <c r="J12" s="27" t="s">
        <v>43</v>
      </c>
      <c r="K12" s="27" t="s">
        <v>17</v>
      </c>
      <c r="L12" s="27" t="s">
        <v>19</v>
      </c>
      <c r="M12" s="27" t="s">
        <v>44</v>
      </c>
      <c r="N12" s="27" t="s">
        <v>45</v>
      </c>
      <c r="O12" s="27" t="s">
        <v>46</v>
      </c>
      <c r="P12" s="20"/>
      <c r="Q12" s="3"/>
    </row>
    <row r="13">
      <c r="A13" s="14" t="s">
        <v>70</v>
      </c>
      <c r="B13" s="14" t="s">
        <v>82</v>
      </c>
      <c r="C13" s="14" t="s">
        <v>48</v>
      </c>
      <c r="D13" s="14">
        <v>13.58</v>
      </c>
      <c r="E13" s="38">
        <v>512.0</v>
      </c>
      <c r="F13" s="14">
        <v>7.0</v>
      </c>
      <c r="G13" s="14">
        <v>3.0</v>
      </c>
      <c r="H13" s="14">
        <v>0.0</v>
      </c>
      <c r="I13" s="14">
        <v>0.0</v>
      </c>
      <c r="J13" s="14">
        <v>0.0</v>
      </c>
      <c r="K13" s="14">
        <v>0.0</v>
      </c>
      <c r="L13" s="14">
        <f>sum(G13:K13)</f>
        <v>3</v>
      </c>
      <c r="M13" s="33">
        <f>F13/E13</f>
        <v>0.013671875</v>
      </c>
      <c r="N13" s="35">
        <f>D13/F13</f>
        <v>1.94</v>
      </c>
      <c r="O13" s="35">
        <f>D13/E13*1000</f>
        <v>26.5234375</v>
      </c>
      <c r="P13" s="20"/>
      <c r="Q13" s="3"/>
    </row>
    <row r="14">
      <c r="A14" s="14" t="s">
        <v>71</v>
      </c>
      <c r="B14" s="14" t="s">
        <v>53</v>
      </c>
      <c r="C14" s="14" t="s">
        <v>53</v>
      </c>
      <c r="D14" s="14">
        <v>0.0</v>
      </c>
      <c r="E14" s="14" t="s">
        <v>53</v>
      </c>
      <c r="F14" s="14" t="s">
        <v>53</v>
      </c>
      <c r="G14" s="14" t="s">
        <v>53</v>
      </c>
      <c r="H14" s="14" t="s">
        <v>53</v>
      </c>
      <c r="I14" s="14" t="s">
        <v>53</v>
      </c>
      <c r="J14" s="14" t="s">
        <v>53</v>
      </c>
      <c r="K14" s="14" t="s">
        <v>53</v>
      </c>
      <c r="L14" s="14" t="s">
        <v>53</v>
      </c>
      <c r="M14" s="14" t="s">
        <v>53</v>
      </c>
      <c r="N14" s="14" t="s">
        <v>53</v>
      </c>
      <c r="O14" s="14" t="s">
        <v>53</v>
      </c>
      <c r="P14" s="20"/>
      <c r="Q14" s="3"/>
    </row>
    <row r="15">
      <c r="A15" s="14" t="s">
        <v>73</v>
      </c>
      <c r="B15" s="14" t="s">
        <v>53</v>
      </c>
      <c r="C15" s="14" t="s">
        <v>53</v>
      </c>
      <c r="D15" s="14">
        <v>0.0</v>
      </c>
      <c r="E15" s="14" t="s">
        <v>53</v>
      </c>
      <c r="F15" s="14" t="s">
        <v>53</v>
      </c>
      <c r="G15" s="14" t="s">
        <v>53</v>
      </c>
      <c r="H15" s="14" t="s">
        <v>53</v>
      </c>
      <c r="I15" s="14" t="s">
        <v>53</v>
      </c>
      <c r="J15" s="14" t="s">
        <v>53</v>
      </c>
      <c r="K15" s="14" t="s">
        <v>53</v>
      </c>
      <c r="L15" s="14" t="s">
        <v>53</v>
      </c>
      <c r="M15" s="14" t="s">
        <v>53</v>
      </c>
      <c r="N15" s="14" t="s">
        <v>53</v>
      </c>
      <c r="O15" s="14" t="s">
        <v>53</v>
      </c>
      <c r="P15" s="20"/>
      <c r="Q15" s="3"/>
    </row>
    <row r="16">
      <c r="A16" s="14" t="s">
        <v>75</v>
      </c>
      <c r="B16" s="14" t="s">
        <v>53</v>
      </c>
      <c r="C16" s="14" t="s">
        <v>53</v>
      </c>
      <c r="D16" s="14">
        <v>0.0</v>
      </c>
      <c r="E16" s="14" t="s">
        <v>53</v>
      </c>
      <c r="F16" s="14" t="s">
        <v>53</v>
      </c>
      <c r="G16" s="14" t="s">
        <v>53</v>
      </c>
      <c r="H16" s="14" t="s">
        <v>53</v>
      </c>
      <c r="I16" s="14" t="s">
        <v>53</v>
      </c>
      <c r="J16" s="14" t="s">
        <v>53</v>
      </c>
      <c r="K16" s="14" t="s">
        <v>53</v>
      </c>
      <c r="L16" s="14" t="s">
        <v>53</v>
      </c>
      <c r="M16" s="14" t="s">
        <v>53</v>
      </c>
      <c r="N16" s="14" t="s">
        <v>53</v>
      </c>
      <c r="O16" s="14" t="s">
        <v>53</v>
      </c>
      <c r="P16" s="20"/>
      <c r="Q16" s="3"/>
    </row>
    <row r="17">
      <c r="A17" s="16" t="s">
        <v>83</v>
      </c>
      <c r="B17" s="36"/>
      <c r="C17" s="36"/>
      <c r="D17" s="37">
        <f t="shared" ref="D17:L17" si="4">SUM(D13)</f>
        <v>13.58</v>
      </c>
      <c r="E17" s="28">
        <f t="shared" si="4"/>
        <v>512</v>
      </c>
      <c r="F17" s="25">
        <f t="shared" si="4"/>
        <v>7</v>
      </c>
      <c r="G17" s="12">
        <f t="shared" si="4"/>
        <v>3</v>
      </c>
      <c r="H17" s="12">
        <f t="shared" si="4"/>
        <v>0</v>
      </c>
      <c r="I17" s="12">
        <f t="shared" si="4"/>
        <v>0</v>
      </c>
      <c r="J17" s="12">
        <f t="shared" si="4"/>
        <v>0</v>
      </c>
      <c r="K17" s="12">
        <f t="shared" si="4"/>
        <v>0</v>
      </c>
      <c r="L17" s="12">
        <f t="shared" si="4"/>
        <v>3</v>
      </c>
      <c r="M17" s="17">
        <f>F17/E17</f>
        <v>0.013671875</v>
      </c>
      <c r="N17" s="32">
        <f>D17/F17</f>
        <v>1.94</v>
      </c>
      <c r="O17" s="32">
        <f>D17/E17*1000</f>
        <v>26.5234375</v>
      </c>
      <c r="P17" s="20"/>
      <c r="Q17" s="3"/>
    </row>
    <row r="18">
      <c r="A18" s="16" t="s">
        <v>58</v>
      </c>
      <c r="B18" s="36"/>
      <c r="C18" s="36"/>
      <c r="D18" s="39">
        <f>B21*1.2</f>
        <v>18.9</v>
      </c>
      <c r="E18" s="28"/>
      <c r="F18" s="25"/>
      <c r="G18" s="12"/>
      <c r="H18" s="12"/>
      <c r="I18" s="12"/>
      <c r="J18" s="12"/>
      <c r="K18" s="12"/>
      <c r="L18" s="12"/>
      <c r="M18" s="17"/>
      <c r="N18" s="32"/>
      <c r="O18" s="32"/>
      <c r="P18" s="20"/>
      <c r="Q18" s="3"/>
    </row>
    <row r="19">
      <c r="A19" s="20"/>
      <c r="B19" s="20"/>
      <c r="C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20"/>
      <c r="B20" s="40">
        <v>13.58</v>
      </c>
      <c r="C20" s="26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59</v>
      </c>
      <c r="B21" s="42">
        <v>15.75</v>
      </c>
      <c r="C21" s="43">
        <v>1.16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60</v>
      </c>
      <c r="B22" s="44">
        <v>3.0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61</v>
      </c>
      <c r="B23" s="44">
        <v>512.0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41" t="s">
        <v>63</v>
      </c>
      <c r="B24" s="45">
        <f>B21/B22</f>
        <v>5.25</v>
      </c>
      <c r="C24" s="40">
        <v>4.53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41" t="s">
        <v>64</v>
      </c>
      <c r="B25" s="46">
        <f>B21/B23*1000</f>
        <v>30.76171875</v>
      </c>
      <c r="C25" s="40">
        <v>26.52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3"/>
    </row>
    <row r="28">
      <c r="A28" s="20" t="s">
        <v>65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3"/>
    </row>
    <row r="29">
      <c r="A29" s="27" t="s">
        <v>36</v>
      </c>
      <c r="B29" s="27" t="s">
        <v>37</v>
      </c>
      <c r="C29" s="27" t="s">
        <v>39</v>
      </c>
      <c r="D29" s="27" t="s">
        <v>40</v>
      </c>
      <c r="E29" s="27" t="s">
        <v>30</v>
      </c>
      <c r="F29" s="27" t="s">
        <v>41</v>
      </c>
      <c r="G29" s="27" t="s">
        <v>42</v>
      </c>
      <c r="H29" s="27" t="s">
        <v>16</v>
      </c>
      <c r="I29" s="27" t="s">
        <v>18</v>
      </c>
      <c r="J29" s="27" t="s">
        <v>43</v>
      </c>
      <c r="K29" s="47" t="s">
        <v>66</v>
      </c>
      <c r="L29" s="47" t="s">
        <v>68</v>
      </c>
      <c r="M29" s="27" t="s">
        <v>44</v>
      </c>
      <c r="N29" s="27" t="s">
        <v>45</v>
      </c>
      <c r="O29" s="27" t="s">
        <v>46</v>
      </c>
      <c r="P29" s="20"/>
      <c r="Q29" s="3"/>
    </row>
    <row r="30">
      <c r="A30" s="14" t="s">
        <v>70</v>
      </c>
      <c r="B30" s="51">
        <v>46153.0</v>
      </c>
      <c r="C30" s="52" t="s">
        <v>74</v>
      </c>
      <c r="D30" s="52">
        <v>150.0</v>
      </c>
      <c r="E30" s="54">
        <v>1891.0</v>
      </c>
      <c r="F30" s="52">
        <v>101.0</v>
      </c>
      <c r="G30" s="52">
        <v>5.0</v>
      </c>
      <c r="H30" s="52">
        <v>5.0</v>
      </c>
      <c r="I30" s="52">
        <v>5.0</v>
      </c>
      <c r="J30" s="52">
        <v>18.0</v>
      </c>
      <c r="K30" s="52">
        <v>36.0</v>
      </c>
      <c r="L30" s="52">
        <v>1.0</v>
      </c>
      <c r="M30" s="49">
        <f>F30/E30</f>
        <v>0.05341089371</v>
      </c>
      <c r="N30" s="50">
        <f>D30/F30</f>
        <v>1.485148515</v>
      </c>
      <c r="O30" s="50">
        <f>D30/E30*1000</f>
        <v>79.32310947</v>
      </c>
      <c r="P30" s="20"/>
      <c r="Q30" s="3"/>
    </row>
    <row r="31">
      <c r="A31" s="14" t="s">
        <v>88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20"/>
      <c r="Q31" s="3"/>
    </row>
    <row r="32">
      <c r="A32" s="14" t="s">
        <v>80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14" t="s">
        <v>87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14" t="s">
        <v>84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81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14" t="s">
        <v>85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20"/>
      <c r="Q36" s="3"/>
    </row>
    <row r="37">
      <c r="A37" s="14" t="s">
        <v>86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20"/>
      <c r="Q37" s="3"/>
    </row>
    <row r="38">
      <c r="A38" s="14" t="s">
        <v>78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20"/>
      <c r="Q38" s="3"/>
    </row>
    <row r="39">
      <c r="A39" s="67" t="s">
        <v>89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20"/>
      <c r="Q39" s="3"/>
    </row>
    <row r="40">
      <c r="A40" s="14" t="s">
        <v>71</v>
      </c>
      <c r="B40" s="48">
        <v>46156.0</v>
      </c>
      <c r="C40" s="16" t="s">
        <v>69</v>
      </c>
      <c r="D40" s="16">
        <v>75.0</v>
      </c>
      <c r="E40" s="15">
        <v>530.0</v>
      </c>
      <c r="F40" s="16">
        <v>5.0</v>
      </c>
      <c r="G40" s="16">
        <v>1.0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49">
        <f t="shared" ref="M40:M41" si="5">F40/E40</f>
        <v>0.009433962264</v>
      </c>
      <c r="N40" s="32">
        <f t="shared" ref="N40:N41" si="6">D40/F40</f>
        <v>15</v>
      </c>
      <c r="O40" s="50">
        <f t="shared" ref="O40:O41" si="7">D40/E40*1000</f>
        <v>141.509434</v>
      </c>
      <c r="P40" s="20"/>
      <c r="Q40" s="3"/>
    </row>
    <row r="41">
      <c r="A41" s="14" t="s">
        <v>70</v>
      </c>
      <c r="B41" s="51">
        <v>46163.0</v>
      </c>
      <c r="C41" s="52" t="s">
        <v>74</v>
      </c>
      <c r="D41" s="52">
        <v>150.0</v>
      </c>
      <c r="E41" s="54">
        <v>1208.0</v>
      </c>
      <c r="F41" s="52">
        <v>74.0</v>
      </c>
      <c r="G41" s="52">
        <v>4.0</v>
      </c>
      <c r="H41" s="52">
        <v>0.0</v>
      </c>
      <c r="I41" s="52">
        <v>3.0</v>
      </c>
      <c r="J41" s="52">
        <v>4.0</v>
      </c>
      <c r="K41" s="52">
        <v>20.0</v>
      </c>
      <c r="L41" s="52">
        <v>0.0</v>
      </c>
      <c r="M41" s="49">
        <f t="shared" si="5"/>
        <v>0.06125827815</v>
      </c>
      <c r="N41" s="50">
        <f t="shared" si="6"/>
        <v>2.027027027</v>
      </c>
      <c r="O41" s="50">
        <f t="shared" si="7"/>
        <v>124.1721854</v>
      </c>
      <c r="P41" s="20"/>
      <c r="Q41" s="3"/>
    </row>
    <row r="42">
      <c r="A42" s="14" t="s">
        <v>84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20"/>
      <c r="Q42" s="3"/>
    </row>
    <row r="43">
      <c r="A43" s="14" t="s">
        <v>85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20"/>
      <c r="Q43" s="3"/>
    </row>
    <row r="44">
      <c r="A44" s="14" t="s">
        <v>86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20"/>
      <c r="Q44" s="3"/>
    </row>
    <row r="45">
      <c r="A45" s="14" t="s">
        <v>88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0"/>
      <c r="Q45" s="3"/>
    </row>
    <row r="46">
      <c r="A46" s="14" t="s">
        <v>87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20"/>
      <c r="Q46" s="3"/>
    </row>
    <row r="47">
      <c r="A47" s="14" t="s">
        <v>81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20"/>
      <c r="Q47" s="3"/>
    </row>
    <row r="48">
      <c r="A48" s="14" t="s">
        <v>78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20"/>
      <c r="Q48" s="3"/>
    </row>
    <row r="49">
      <c r="A49" s="14" t="s">
        <v>80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20"/>
      <c r="Q49" s="3"/>
    </row>
    <row r="50">
      <c r="A50" s="14" t="s">
        <v>71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20"/>
      <c r="Q50" s="3"/>
    </row>
    <row r="51">
      <c r="A51" s="14" t="s">
        <v>70</v>
      </c>
      <c r="B51" s="51">
        <v>46168.0</v>
      </c>
      <c r="C51" s="52" t="s">
        <v>74</v>
      </c>
      <c r="D51" s="52">
        <v>150.0</v>
      </c>
      <c r="E51" s="54">
        <v>1730.0</v>
      </c>
      <c r="F51" s="52">
        <v>95.0</v>
      </c>
      <c r="G51" s="52">
        <v>5.0</v>
      </c>
      <c r="H51" s="52">
        <v>1.0</v>
      </c>
      <c r="I51" s="52">
        <v>5.0</v>
      </c>
      <c r="J51" s="52">
        <v>8.0</v>
      </c>
      <c r="K51" s="52">
        <v>11.0</v>
      </c>
      <c r="L51" s="52">
        <v>2.0</v>
      </c>
      <c r="M51" s="49">
        <f>F51/E51</f>
        <v>0.0549132948</v>
      </c>
      <c r="N51" s="50">
        <f>D51/F51</f>
        <v>1.578947368</v>
      </c>
      <c r="O51" s="50">
        <f>D51/E51*1000</f>
        <v>86.70520231</v>
      </c>
      <c r="P51" s="20"/>
      <c r="Q51" s="3"/>
    </row>
    <row r="52">
      <c r="A52" s="14" t="s">
        <v>84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20"/>
      <c r="Q52" s="3"/>
    </row>
    <row r="53">
      <c r="A53" s="14" t="s">
        <v>85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20"/>
      <c r="Q53" s="3"/>
    </row>
    <row r="54">
      <c r="A54" s="14" t="s">
        <v>86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20"/>
      <c r="Q54" s="3"/>
    </row>
    <row r="55">
      <c r="A55" s="14" t="s">
        <v>88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20"/>
      <c r="Q55" s="3"/>
    </row>
    <row r="56">
      <c r="A56" s="14" t="s">
        <v>87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0"/>
      <c r="Q56" s="3"/>
    </row>
    <row r="57">
      <c r="A57" s="14" t="s">
        <v>81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0"/>
      <c r="Q57" s="3"/>
    </row>
    <row r="58">
      <c r="A58" s="14" t="s">
        <v>78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20"/>
      <c r="Q58" s="3"/>
    </row>
    <row r="59">
      <c r="A59" s="14" t="s">
        <v>80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20"/>
      <c r="Q59" s="3"/>
    </row>
    <row r="60">
      <c r="A60" s="14" t="s">
        <v>71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20"/>
      <c r="Q60" s="3"/>
    </row>
    <row r="61">
      <c r="A61" s="14" t="s">
        <v>73</v>
      </c>
      <c r="B61" s="48">
        <v>46169.0</v>
      </c>
      <c r="C61" s="16" t="s">
        <v>69</v>
      </c>
      <c r="D61" s="16">
        <v>75.0</v>
      </c>
      <c r="E61" s="15">
        <v>391.0</v>
      </c>
      <c r="F61" s="16">
        <v>3.0</v>
      </c>
      <c r="G61" s="16">
        <v>0.0</v>
      </c>
      <c r="H61" s="16">
        <v>0.0</v>
      </c>
      <c r="I61" s="16">
        <v>1.0</v>
      </c>
      <c r="J61" s="16">
        <v>0.0</v>
      </c>
      <c r="K61" s="16">
        <v>1.0</v>
      </c>
      <c r="L61" s="16">
        <v>0.0</v>
      </c>
      <c r="M61" s="49">
        <f t="shared" ref="M61:M63" si="8">F61/E61</f>
        <v>0.007672634271</v>
      </c>
      <c r="N61" s="32">
        <f t="shared" ref="N61:N63" si="9">D61/F61</f>
        <v>25</v>
      </c>
      <c r="O61" s="50">
        <f t="shared" ref="O61:O63" si="10">D61/E61*1000</f>
        <v>191.8158568</v>
      </c>
      <c r="P61" s="20"/>
      <c r="Q61" s="3"/>
    </row>
    <row r="62">
      <c r="A62" s="14" t="s">
        <v>75</v>
      </c>
      <c r="B62" s="48">
        <v>46170.0</v>
      </c>
      <c r="C62" s="16" t="s">
        <v>69</v>
      </c>
      <c r="D62" s="16">
        <v>75.0</v>
      </c>
      <c r="E62" s="15">
        <v>405.0</v>
      </c>
      <c r="F62" s="16">
        <v>12.0</v>
      </c>
      <c r="G62" s="16">
        <v>1.0</v>
      </c>
      <c r="H62" s="16">
        <v>0.0</v>
      </c>
      <c r="I62" s="16">
        <v>0.0</v>
      </c>
      <c r="J62" s="16">
        <v>0.0</v>
      </c>
      <c r="K62" s="16">
        <v>1.0</v>
      </c>
      <c r="L62" s="16">
        <v>0.0</v>
      </c>
      <c r="M62" s="49">
        <f t="shared" si="8"/>
        <v>0.02962962963</v>
      </c>
      <c r="N62" s="32">
        <f t="shared" si="9"/>
        <v>6.25</v>
      </c>
      <c r="O62" s="50">
        <f t="shared" si="10"/>
        <v>185.1851852</v>
      </c>
      <c r="P62" s="20"/>
      <c r="Q62" s="3"/>
    </row>
    <row r="63">
      <c r="A63" s="16" t="s">
        <v>83</v>
      </c>
      <c r="B63" s="36"/>
      <c r="C63" s="36"/>
      <c r="D63" s="28">
        <f t="shared" ref="D63:L63" si="11">SUM(D30:D62)</f>
        <v>675</v>
      </c>
      <c r="E63" s="28">
        <f t="shared" si="11"/>
        <v>6155</v>
      </c>
      <c r="F63" s="25">
        <f t="shared" si="11"/>
        <v>290</v>
      </c>
      <c r="G63" s="12">
        <f t="shared" si="11"/>
        <v>16</v>
      </c>
      <c r="H63" s="12">
        <f t="shared" si="11"/>
        <v>6</v>
      </c>
      <c r="I63" s="12">
        <f t="shared" si="11"/>
        <v>14</v>
      </c>
      <c r="J63" s="12">
        <f t="shared" si="11"/>
        <v>30</v>
      </c>
      <c r="K63" s="12">
        <f t="shared" si="11"/>
        <v>69</v>
      </c>
      <c r="L63" s="12">
        <f t="shared" si="11"/>
        <v>3</v>
      </c>
      <c r="M63" s="17">
        <f t="shared" si="8"/>
        <v>0.04711616572</v>
      </c>
      <c r="N63" s="32">
        <f t="shared" si="9"/>
        <v>2.327586207</v>
      </c>
      <c r="O63" s="32">
        <f t="shared" si="10"/>
        <v>109.6669374</v>
      </c>
      <c r="P63" s="20"/>
      <c r="Q63" s="3"/>
    </row>
    <row r="64">
      <c r="A64" s="16" t="s">
        <v>58</v>
      </c>
      <c r="B64" s="36"/>
      <c r="C64" s="36"/>
      <c r="D64" s="68" t="s">
        <v>98</v>
      </c>
      <c r="E64" s="28"/>
      <c r="F64" s="25"/>
      <c r="G64" s="12"/>
      <c r="H64" s="12"/>
      <c r="I64" s="12"/>
      <c r="J64" s="12"/>
      <c r="K64" s="12"/>
      <c r="L64" s="12"/>
      <c r="M64" s="17"/>
      <c r="N64" s="32"/>
      <c r="O64" s="32"/>
      <c r="P64" s="20"/>
      <c r="Q64" s="3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55"/>
      <c r="N65" s="56"/>
      <c r="O65" s="56"/>
      <c r="P65" s="20"/>
      <c r="Q65" s="3"/>
    </row>
    <row r="66">
      <c r="A66" s="20"/>
      <c r="B66" s="40">
        <v>675.0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3"/>
    </row>
    <row r="67">
      <c r="A67" s="41" t="s">
        <v>59</v>
      </c>
      <c r="B67" s="42">
        <v>939.6</v>
      </c>
      <c r="C67" s="43">
        <v>1.16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3"/>
    </row>
    <row r="68">
      <c r="A68" s="41" t="s">
        <v>61</v>
      </c>
      <c r="B68" s="44">
        <v>6155.0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3"/>
    </row>
    <row r="69">
      <c r="A69" s="58" t="s">
        <v>44</v>
      </c>
      <c r="B69" s="59">
        <v>0.0471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20"/>
      <c r="Q69" s="3"/>
    </row>
    <row r="70">
      <c r="A70" s="58" t="s">
        <v>79</v>
      </c>
      <c r="B70" s="61">
        <v>2.33</v>
      </c>
      <c r="C70" s="69">
        <v>2.01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20"/>
      <c r="Q70" s="3"/>
    </row>
    <row r="71">
      <c r="A71" s="58" t="s">
        <v>64</v>
      </c>
      <c r="B71" s="63">
        <f>B67/B68*1000</f>
        <v>152.6563769</v>
      </c>
      <c r="C71" s="64">
        <v>131.6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0"/>
      <c r="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20"/>
      <c r="Q72" s="3"/>
    </row>
    <row r="73">
      <c r="P73" s="20"/>
      <c r="Q73" s="3"/>
    </row>
    <row r="74">
      <c r="P74" s="20"/>
      <c r="Q74" s="3"/>
    </row>
    <row r="75">
      <c r="P75" s="20"/>
      <c r="Q75" s="3"/>
    </row>
    <row r="76">
      <c r="P76" s="20"/>
      <c r="Q76" s="3"/>
    </row>
    <row r="77" ht="1.5" customHeight="1"/>
    <row r="78" ht="1.5" customHeight="1"/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6"/>
      <c r="L83" s="66"/>
      <c r="M83" s="65"/>
      <c r="N83" s="65"/>
      <c r="O83" s="65"/>
    </row>
    <row r="84">
      <c r="A84" s="70"/>
      <c r="B84" s="71"/>
      <c r="C84" s="72"/>
      <c r="D84" s="72"/>
      <c r="E84" s="73"/>
      <c r="F84" s="72"/>
      <c r="G84" s="72"/>
      <c r="H84" s="72"/>
      <c r="I84" s="72"/>
      <c r="J84" s="72"/>
      <c r="K84" s="72"/>
      <c r="L84" s="72"/>
      <c r="M84" s="55"/>
      <c r="N84" s="56"/>
      <c r="O84" s="56"/>
    </row>
    <row r="85">
      <c r="A85" s="70"/>
      <c r="B85" s="71"/>
      <c r="C85" s="72"/>
      <c r="D85" s="72"/>
      <c r="E85" s="73"/>
      <c r="F85" s="72"/>
      <c r="G85" s="72"/>
      <c r="H85" s="72"/>
      <c r="I85" s="72"/>
      <c r="J85" s="72"/>
      <c r="K85" s="72"/>
      <c r="L85" s="72"/>
      <c r="M85" s="55"/>
      <c r="N85" s="56"/>
      <c r="O85" s="56"/>
    </row>
    <row r="86">
      <c r="A86" s="70"/>
      <c r="B86" s="71"/>
      <c r="C86" s="72"/>
      <c r="D86" s="72"/>
      <c r="E86" s="73"/>
      <c r="F86" s="72"/>
      <c r="G86" s="72"/>
      <c r="H86" s="72"/>
      <c r="I86" s="72"/>
      <c r="J86" s="72"/>
      <c r="K86" s="72"/>
      <c r="L86" s="72"/>
      <c r="M86" s="55"/>
      <c r="N86" s="56"/>
      <c r="O86" s="56"/>
    </row>
    <row r="87">
      <c r="A87" s="70"/>
      <c r="B87" s="71"/>
      <c r="C87" s="72"/>
      <c r="D87" s="72"/>
      <c r="E87" s="73"/>
      <c r="F87" s="72"/>
      <c r="G87" s="72"/>
      <c r="H87" s="72"/>
      <c r="I87" s="72"/>
      <c r="J87" s="72"/>
      <c r="K87" s="72"/>
      <c r="L87" s="72"/>
      <c r="M87" s="55"/>
      <c r="N87" s="56"/>
      <c r="O87" s="56"/>
    </row>
    <row r="88">
      <c r="A88" s="70"/>
      <c r="B88" s="71"/>
      <c r="C88" s="72"/>
      <c r="D88" s="72"/>
      <c r="E88" s="73"/>
      <c r="F88" s="72"/>
      <c r="G88" s="72"/>
      <c r="H88" s="72"/>
      <c r="I88" s="72"/>
      <c r="J88" s="72"/>
      <c r="K88" s="72"/>
      <c r="L88" s="72"/>
      <c r="M88" s="55"/>
      <c r="N88" s="56"/>
      <c r="O88" s="56"/>
    </row>
    <row r="89">
      <c r="A89" s="70"/>
      <c r="B89" s="71"/>
      <c r="C89" s="72"/>
      <c r="D89" s="72"/>
      <c r="E89" s="73"/>
      <c r="F89" s="72"/>
      <c r="G89" s="72"/>
      <c r="H89" s="72"/>
      <c r="I89" s="72"/>
      <c r="J89" s="72"/>
      <c r="K89" s="72"/>
      <c r="L89" s="72"/>
      <c r="M89" s="55"/>
      <c r="N89" s="56"/>
      <c r="O89" s="56"/>
    </row>
    <row r="90">
      <c r="A90" s="72"/>
      <c r="B90" s="74"/>
      <c r="C90" s="74"/>
      <c r="D90" s="75"/>
      <c r="E90" s="75"/>
      <c r="F90" s="76"/>
      <c r="G90" s="77"/>
      <c r="H90" s="77"/>
      <c r="I90" s="77"/>
      <c r="J90" s="77"/>
      <c r="K90" s="77"/>
      <c r="L90" s="77"/>
      <c r="M90" s="55"/>
      <c r="N90" s="56"/>
      <c r="O90" s="56"/>
    </row>
    <row r="91">
      <c r="A91" s="72"/>
      <c r="B91" s="74"/>
      <c r="C91" s="74"/>
      <c r="D91" s="78"/>
      <c r="E91" s="75"/>
      <c r="F91" s="76"/>
      <c r="G91" s="77"/>
      <c r="H91" s="77"/>
      <c r="I91" s="77"/>
      <c r="J91" s="77"/>
      <c r="K91" s="77"/>
      <c r="L91" s="77"/>
      <c r="M91" s="55"/>
      <c r="N91" s="56"/>
      <c r="O91" s="56"/>
    </row>
  </sheetData>
  <mergeCells count="43">
    <mergeCell ref="H30:H39"/>
    <mergeCell ref="I30:I39"/>
    <mergeCell ref="J30:J39"/>
    <mergeCell ref="K30:K39"/>
    <mergeCell ref="L30:L39"/>
    <mergeCell ref="M30:M39"/>
    <mergeCell ref="N30:N39"/>
    <mergeCell ref="O30:O39"/>
    <mergeCell ref="A8:C8"/>
    <mergeCell ref="B30:B39"/>
    <mergeCell ref="C30:C39"/>
    <mergeCell ref="D30:D39"/>
    <mergeCell ref="E30:E39"/>
    <mergeCell ref="F30:F39"/>
    <mergeCell ref="G30:G39"/>
    <mergeCell ref="I41:I50"/>
    <mergeCell ref="J41:J50"/>
    <mergeCell ref="K41:K50"/>
    <mergeCell ref="L41:L50"/>
    <mergeCell ref="M41:M50"/>
    <mergeCell ref="N41:N50"/>
    <mergeCell ref="O41:O50"/>
    <mergeCell ref="B41:B50"/>
    <mergeCell ref="C41:C50"/>
    <mergeCell ref="D41:D50"/>
    <mergeCell ref="E41:E50"/>
    <mergeCell ref="F41:F50"/>
    <mergeCell ref="G41:G50"/>
    <mergeCell ref="H41:H50"/>
    <mergeCell ref="I51:I60"/>
    <mergeCell ref="J51:J60"/>
    <mergeCell ref="K51:K60"/>
    <mergeCell ref="L51:L60"/>
    <mergeCell ref="M51:M60"/>
    <mergeCell ref="N51:N60"/>
    <mergeCell ref="O51:O60"/>
    <mergeCell ref="B51:B60"/>
    <mergeCell ref="C51:C60"/>
    <mergeCell ref="D51:D60"/>
    <mergeCell ref="E51:E60"/>
    <mergeCell ref="F51:F60"/>
    <mergeCell ref="G51:G60"/>
    <mergeCell ref="H51:H6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46122.0</v>
      </c>
      <c r="C4" s="14" t="s">
        <v>87</v>
      </c>
      <c r="D4" s="15">
        <v>80.0</v>
      </c>
      <c r="E4" s="16">
        <v>6.0</v>
      </c>
      <c r="F4" s="16">
        <v>1.0</v>
      </c>
      <c r="G4" s="16">
        <v>1.0</v>
      </c>
      <c r="H4" s="16">
        <v>7.0</v>
      </c>
      <c r="I4" s="12">
        <f t="shared" ref="I4:I7" si="1">sum(E4:H4)</f>
        <v>15</v>
      </c>
      <c r="J4" s="17">
        <f t="shared" ref="J4:J7" si="2">I4/D4</f>
        <v>0.1875</v>
      </c>
      <c r="K4" s="16">
        <v>3.0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46132.0</v>
      </c>
      <c r="C5" s="14" t="s">
        <v>80</v>
      </c>
      <c r="D5" s="16">
        <v>51.0</v>
      </c>
      <c r="E5" s="16">
        <v>4.0</v>
      </c>
      <c r="F5" s="16">
        <v>1.0</v>
      </c>
      <c r="G5" s="16">
        <v>0.0</v>
      </c>
      <c r="H5" s="16">
        <v>3.0</v>
      </c>
      <c r="I5" s="12">
        <f t="shared" si="1"/>
        <v>8</v>
      </c>
      <c r="J5" s="17">
        <f t="shared" si="2"/>
        <v>0.1568627451</v>
      </c>
      <c r="K5" s="16">
        <v>1.0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46140.0</v>
      </c>
      <c r="C6" s="14" t="s">
        <v>90</v>
      </c>
      <c r="D6" s="16">
        <v>124.0</v>
      </c>
      <c r="E6" s="16">
        <v>18.0</v>
      </c>
      <c r="F6" s="16">
        <v>2.0</v>
      </c>
      <c r="G6" s="16">
        <v>2.0</v>
      </c>
      <c r="H6" s="16">
        <v>6.0</v>
      </c>
      <c r="I6" s="12">
        <f t="shared" si="1"/>
        <v>28</v>
      </c>
      <c r="J6" s="17">
        <f t="shared" si="2"/>
        <v>0.2258064516</v>
      </c>
      <c r="K6" s="16">
        <v>1.0</v>
      </c>
      <c r="L6" s="20"/>
      <c r="M6" s="20"/>
      <c r="N6" s="20"/>
      <c r="O6" s="20"/>
      <c r="P6" s="20"/>
      <c r="Q6" s="3"/>
    </row>
    <row r="7">
      <c r="A7" s="22" t="s">
        <v>91</v>
      </c>
      <c r="B7" s="23"/>
      <c r="C7" s="24"/>
      <c r="D7" s="25">
        <f t="shared" ref="D7:H7" si="3">SUM(D4:D6)</f>
        <v>255</v>
      </c>
      <c r="E7" s="12">
        <f t="shared" si="3"/>
        <v>28</v>
      </c>
      <c r="F7" s="12">
        <f t="shared" si="3"/>
        <v>4</v>
      </c>
      <c r="G7" s="12">
        <f t="shared" si="3"/>
        <v>3</v>
      </c>
      <c r="H7" s="12">
        <f t="shared" si="3"/>
        <v>16</v>
      </c>
      <c r="I7" s="12">
        <f t="shared" si="1"/>
        <v>51</v>
      </c>
      <c r="J7" s="17">
        <f t="shared" si="2"/>
        <v>0.2</v>
      </c>
      <c r="K7" s="12">
        <f>SUM(K4:K6)</f>
        <v>5</v>
      </c>
      <c r="L7" s="20"/>
      <c r="M7" s="20"/>
      <c r="N7" s="20"/>
      <c r="O7" s="20"/>
      <c r="P7" s="20"/>
      <c r="Q7" s="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 t="s">
        <v>35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7" t="s">
        <v>36</v>
      </c>
      <c r="B11" s="27" t="s">
        <v>37</v>
      </c>
      <c r="C11" s="27" t="s">
        <v>39</v>
      </c>
      <c r="D11" s="27" t="s">
        <v>40</v>
      </c>
      <c r="E11" s="27" t="s">
        <v>30</v>
      </c>
      <c r="F11" s="27" t="s">
        <v>41</v>
      </c>
      <c r="G11" s="27" t="s">
        <v>42</v>
      </c>
      <c r="H11" s="27" t="s">
        <v>16</v>
      </c>
      <c r="I11" s="27" t="s">
        <v>18</v>
      </c>
      <c r="J11" s="27" t="s">
        <v>43</v>
      </c>
      <c r="K11" s="27" t="s">
        <v>17</v>
      </c>
      <c r="L11" s="27" t="s">
        <v>19</v>
      </c>
      <c r="M11" s="27" t="s">
        <v>44</v>
      </c>
      <c r="N11" s="27" t="s">
        <v>45</v>
      </c>
      <c r="O11" s="27" t="s">
        <v>46</v>
      </c>
      <c r="P11" s="20"/>
      <c r="Q11" s="3"/>
    </row>
    <row r="12">
      <c r="A12" s="14" t="s">
        <v>88</v>
      </c>
      <c r="B12" s="14" t="s">
        <v>92</v>
      </c>
      <c r="C12" s="14" t="s">
        <v>48</v>
      </c>
      <c r="D12" s="14">
        <v>160.55</v>
      </c>
      <c r="E12" s="38">
        <v>1937.0</v>
      </c>
      <c r="F12" s="14">
        <v>62.0</v>
      </c>
      <c r="G12" s="14">
        <v>14.0</v>
      </c>
      <c r="H12" s="14">
        <v>1.0</v>
      </c>
      <c r="I12" s="14">
        <v>4.0</v>
      </c>
      <c r="J12" s="14">
        <v>1.0</v>
      </c>
      <c r="K12" s="14">
        <v>1.0</v>
      </c>
      <c r="L12" s="14">
        <f>sum(G12:K12)</f>
        <v>21</v>
      </c>
      <c r="M12" s="33">
        <f>F12/E12</f>
        <v>0.0320082602</v>
      </c>
      <c r="N12" s="35">
        <f>D12/F12</f>
        <v>2.589516129</v>
      </c>
      <c r="O12" s="35">
        <f>D12/E12*1000</f>
        <v>82.88590604</v>
      </c>
      <c r="P12" s="20"/>
      <c r="Q12" s="3"/>
    </row>
    <row r="13">
      <c r="A13" s="14" t="s">
        <v>80</v>
      </c>
      <c r="B13" s="14" t="s">
        <v>94</v>
      </c>
      <c r="C13" s="14" t="s">
        <v>48</v>
      </c>
      <c r="D13" s="14">
        <v>0.0</v>
      </c>
      <c r="E13" s="14" t="s">
        <v>53</v>
      </c>
      <c r="F13" s="14" t="s">
        <v>53</v>
      </c>
      <c r="G13" s="14" t="s">
        <v>53</v>
      </c>
      <c r="H13" s="14" t="s">
        <v>53</v>
      </c>
      <c r="I13" s="14" t="s">
        <v>53</v>
      </c>
      <c r="J13" s="14" t="s">
        <v>53</v>
      </c>
      <c r="K13" s="14" t="s">
        <v>53</v>
      </c>
      <c r="L13" s="14" t="s">
        <v>53</v>
      </c>
      <c r="M13" s="14" t="s">
        <v>53</v>
      </c>
      <c r="N13" s="14" t="s">
        <v>53</v>
      </c>
      <c r="O13" s="14" t="s">
        <v>53</v>
      </c>
      <c r="P13" s="20"/>
      <c r="Q13" s="3"/>
    </row>
    <row r="14">
      <c r="A14" s="14" t="s">
        <v>87</v>
      </c>
      <c r="B14" s="14" t="s">
        <v>95</v>
      </c>
      <c r="C14" s="14" t="s">
        <v>48</v>
      </c>
      <c r="D14" s="14">
        <v>0.0</v>
      </c>
      <c r="E14" s="14" t="s">
        <v>53</v>
      </c>
      <c r="F14" s="14" t="s">
        <v>53</v>
      </c>
      <c r="G14" s="14" t="s">
        <v>53</v>
      </c>
      <c r="H14" s="14" t="s">
        <v>53</v>
      </c>
      <c r="I14" s="14" t="s">
        <v>53</v>
      </c>
      <c r="J14" s="14" t="s">
        <v>53</v>
      </c>
      <c r="K14" s="14" t="s">
        <v>53</v>
      </c>
      <c r="L14" s="14" t="s">
        <v>53</v>
      </c>
      <c r="M14" s="14" t="s">
        <v>53</v>
      </c>
      <c r="N14" s="14" t="s">
        <v>53</v>
      </c>
      <c r="O14" s="14" t="s">
        <v>53</v>
      </c>
      <c r="P14" s="20"/>
      <c r="Q14" s="3"/>
    </row>
    <row r="15">
      <c r="A15" s="16" t="s">
        <v>96</v>
      </c>
      <c r="B15" s="36"/>
      <c r="C15" s="36"/>
      <c r="D15" s="37">
        <f t="shared" ref="D15:L15" si="4">SUM(D12)</f>
        <v>160.55</v>
      </c>
      <c r="E15" s="28">
        <f t="shared" si="4"/>
        <v>1937</v>
      </c>
      <c r="F15" s="25">
        <f t="shared" si="4"/>
        <v>62</v>
      </c>
      <c r="G15" s="12">
        <f t="shared" si="4"/>
        <v>14</v>
      </c>
      <c r="H15" s="12">
        <f t="shared" si="4"/>
        <v>1</v>
      </c>
      <c r="I15" s="12">
        <f t="shared" si="4"/>
        <v>4</v>
      </c>
      <c r="J15" s="12">
        <f t="shared" si="4"/>
        <v>1</v>
      </c>
      <c r="K15" s="12">
        <f t="shared" si="4"/>
        <v>1</v>
      </c>
      <c r="L15" s="12">
        <f t="shared" si="4"/>
        <v>21</v>
      </c>
      <c r="M15" s="17">
        <f>F15/E15</f>
        <v>0.0320082602</v>
      </c>
      <c r="N15" s="32">
        <f>D15/F15</f>
        <v>2.589516129</v>
      </c>
      <c r="O15" s="32">
        <f>D15/E15*1000</f>
        <v>82.88590604</v>
      </c>
      <c r="P15" s="20"/>
      <c r="Q15" s="3"/>
    </row>
    <row r="16">
      <c r="A16" s="16" t="s">
        <v>58</v>
      </c>
      <c r="B16" s="36"/>
      <c r="C16" s="36"/>
      <c r="D16" s="68" t="s">
        <v>97</v>
      </c>
      <c r="E16" s="28"/>
      <c r="F16" s="25"/>
      <c r="G16" s="12"/>
      <c r="H16" s="12"/>
      <c r="I16" s="12"/>
      <c r="J16" s="12"/>
      <c r="K16" s="12"/>
      <c r="L16" s="12"/>
      <c r="M16" s="17"/>
      <c r="N16" s="32"/>
      <c r="O16" s="32"/>
      <c r="P16" s="20"/>
      <c r="Q16" s="3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3"/>
    </row>
    <row r="18">
      <c r="A18" s="20"/>
      <c r="B18" s="40">
        <v>160.55</v>
      </c>
      <c r="C18" s="26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41" t="s">
        <v>59</v>
      </c>
      <c r="B19" s="42">
        <v>183.03</v>
      </c>
      <c r="C19" s="43">
        <v>1.14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60</v>
      </c>
      <c r="B20" s="44">
        <v>21.0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61</v>
      </c>
      <c r="B21" s="44">
        <v>1937.0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63</v>
      </c>
      <c r="B22" s="45">
        <f>B19/B20</f>
        <v>8.715714286</v>
      </c>
      <c r="C22" s="40">
        <v>7.65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64</v>
      </c>
      <c r="B23" s="46">
        <f>B19/B21*1000</f>
        <v>94.49148167</v>
      </c>
      <c r="C23" s="40">
        <v>82.89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 t="s">
        <v>65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7" t="s">
        <v>36</v>
      </c>
      <c r="B27" s="27" t="s">
        <v>37</v>
      </c>
      <c r="C27" s="27" t="s">
        <v>39</v>
      </c>
      <c r="D27" s="27" t="s">
        <v>40</v>
      </c>
      <c r="E27" s="27" t="s">
        <v>30</v>
      </c>
      <c r="F27" s="27" t="s">
        <v>41</v>
      </c>
      <c r="G27" s="27" t="s">
        <v>42</v>
      </c>
      <c r="H27" s="27" t="s">
        <v>16</v>
      </c>
      <c r="I27" s="27" t="s">
        <v>18</v>
      </c>
      <c r="J27" s="27" t="s">
        <v>43</v>
      </c>
      <c r="K27" s="47" t="s">
        <v>66</v>
      </c>
      <c r="L27" s="47" t="s">
        <v>68</v>
      </c>
      <c r="M27" s="27" t="s">
        <v>44</v>
      </c>
      <c r="N27" s="27" t="s">
        <v>45</v>
      </c>
      <c r="O27" s="27" t="s">
        <v>46</v>
      </c>
      <c r="P27" s="20"/>
      <c r="Q27" s="3"/>
    </row>
    <row r="28">
      <c r="A28" s="14" t="s">
        <v>99</v>
      </c>
      <c r="B28" s="51">
        <v>46138.0</v>
      </c>
      <c r="C28" s="52" t="s">
        <v>69</v>
      </c>
      <c r="D28" s="52">
        <v>150.0</v>
      </c>
      <c r="E28" s="54">
        <v>970.0</v>
      </c>
      <c r="F28" s="52">
        <v>58.0</v>
      </c>
      <c r="G28" s="52">
        <v>7.0</v>
      </c>
      <c r="H28" s="52">
        <v>0.0</v>
      </c>
      <c r="I28" s="52">
        <v>7.0</v>
      </c>
      <c r="J28" s="52">
        <v>3.0</v>
      </c>
      <c r="K28" s="52">
        <v>4.0</v>
      </c>
      <c r="L28" s="52">
        <v>0.0</v>
      </c>
      <c r="M28" s="49">
        <f>F28/E28</f>
        <v>0.05979381443</v>
      </c>
      <c r="N28" s="50">
        <f>D28/F28</f>
        <v>2.586206897</v>
      </c>
      <c r="O28" s="50">
        <f>D28/E28*1000</f>
        <v>154.6391753</v>
      </c>
      <c r="P28" s="20"/>
      <c r="Q28" s="3"/>
    </row>
    <row r="29">
      <c r="A29" s="14" t="s">
        <v>84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20"/>
      <c r="Q29" s="3"/>
    </row>
    <row r="30">
      <c r="A30" s="14" t="s">
        <v>85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20"/>
      <c r="Q30" s="3"/>
    </row>
    <row r="31">
      <c r="A31" s="14" t="s">
        <v>100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20"/>
      <c r="Q31" s="3"/>
    </row>
    <row r="32">
      <c r="A32" s="14" t="s">
        <v>87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14" t="s">
        <v>81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14" t="s">
        <v>78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86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67" t="s">
        <v>89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20"/>
      <c r="Q36" s="3"/>
    </row>
    <row r="37">
      <c r="A37" s="14" t="s">
        <v>101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20"/>
      <c r="Q37" s="3"/>
    </row>
    <row r="38">
      <c r="A38" s="16" t="s">
        <v>96</v>
      </c>
      <c r="B38" s="36"/>
      <c r="C38" s="36"/>
      <c r="D38" s="28">
        <f t="shared" ref="D38:L38" si="5">SUM(D28:D37)</f>
        <v>150</v>
      </c>
      <c r="E38" s="28">
        <f t="shared" si="5"/>
        <v>970</v>
      </c>
      <c r="F38" s="25">
        <f t="shared" si="5"/>
        <v>58</v>
      </c>
      <c r="G38" s="12">
        <f t="shared" si="5"/>
        <v>7</v>
      </c>
      <c r="H38" s="12">
        <f t="shared" si="5"/>
        <v>0</v>
      </c>
      <c r="I38" s="12">
        <f t="shared" si="5"/>
        <v>7</v>
      </c>
      <c r="J38" s="12">
        <f t="shared" si="5"/>
        <v>3</v>
      </c>
      <c r="K38" s="12">
        <f t="shared" si="5"/>
        <v>4</v>
      </c>
      <c r="L38" s="12">
        <f t="shared" si="5"/>
        <v>0</v>
      </c>
      <c r="M38" s="17">
        <f>F38/E38</f>
        <v>0.05979381443</v>
      </c>
      <c r="N38" s="32">
        <f>D38/F38</f>
        <v>2.586206897</v>
      </c>
      <c r="O38" s="32">
        <f>D38/E38*1000</f>
        <v>154.6391753</v>
      </c>
      <c r="P38" s="20"/>
      <c r="Q38" s="3"/>
    </row>
    <row r="39">
      <c r="A39" s="16" t="s">
        <v>58</v>
      </c>
      <c r="B39" s="36"/>
      <c r="C39" s="36"/>
      <c r="D39" s="29" t="s">
        <v>103</v>
      </c>
      <c r="E39" s="28"/>
      <c r="F39" s="25"/>
      <c r="G39" s="12"/>
      <c r="H39" s="12"/>
      <c r="I39" s="12"/>
      <c r="J39" s="12"/>
      <c r="K39" s="12"/>
      <c r="L39" s="12"/>
      <c r="M39" s="17"/>
      <c r="N39" s="32"/>
      <c r="O39" s="32"/>
      <c r="P39" s="20"/>
      <c r="Q39" s="3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3"/>
    </row>
    <row r="41">
      <c r="A41" s="20"/>
      <c r="B41" s="40">
        <v>150.0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3"/>
    </row>
    <row r="42">
      <c r="A42" s="41" t="s">
        <v>59</v>
      </c>
      <c r="B42" s="42">
        <v>171.0</v>
      </c>
      <c r="C42" s="43">
        <v>1.14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3"/>
    </row>
    <row r="43">
      <c r="A43" s="41" t="s">
        <v>61</v>
      </c>
      <c r="B43" s="44">
        <v>970.0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3"/>
    </row>
    <row r="44">
      <c r="A44" s="58" t="s">
        <v>44</v>
      </c>
      <c r="B44" s="59">
        <v>0.0598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0"/>
      <c r="Q44" s="3"/>
    </row>
    <row r="45">
      <c r="A45" s="58" t="s">
        <v>79</v>
      </c>
      <c r="B45" s="61">
        <v>2.59</v>
      </c>
      <c r="C45" s="69">
        <v>2.27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0"/>
      <c r="Q45" s="3"/>
    </row>
    <row r="46">
      <c r="A46" s="58" t="s">
        <v>64</v>
      </c>
      <c r="B46" s="63">
        <f>B42/B43*1000</f>
        <v>176.2886598</v>
      </c>
      <c r="C46" s="64">
        <v>154.64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0"/>
      <c r="Q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0"/>
      <c r="Q47" s="3"/>
    </row>
    <row r="48">
      <c r="P48" s="20"/>
      <c r="Q48" s="3"/>
    </row>
    <row r="49">
      <c r="P49" s="20"/>
      <c r="Q49" s="3"/>
    </row>
    <row r="50">
      <c r="P50" s="20"/>
      <c r="Q50" s="3"/>
    </row>
    <row r="51">
      <c r="P51" s="20"/>
      <c r="Q51" s="3"/>
    </row>
    <row r="52">
      <c r="P52" s="20"/>
      <c r="Q52" s="3"/>
    </row>
    <row r="53">
      <c r="P53" s="20"/>
      <c r="Q53" s="3"/>
    </row>
    <row r="54">
      <c r="P54" s="20"/>
      <c r="Q54" s="3"/>
    </row>
    <row r="55">
      <c r="A55" s="72"/>
      <c r="B55" s="74"/>
      <c r="C55" s="74"/>
      <c r="D55" s="79"/>
      <c r="E55" s="79"/>
      <c r="F55" s="73"/>
      <c r="G55" s="72"/>
      <c r="H55" s="72"/>
      <c r="I55" s="72"/>
      <c r="J55" s="72"/>
      <c r="K55" s="72"/>
      <c r="L55" s="72"/>
      <c r="M55" s="80"/>
      <c r="N55" s="81"/>
      <c r="O55" s="81"/>
      <c r="P55" s="20"/>
      <c r="Q55" s="3"/>
    </row>
    <row r="56">
      <c r="P56" s="20"/>
      <c r="Q56" s="3"/>
    </row>
    <row r="57">
      <c r="P57" s="3"/>
      <c r="Q57" s="3"/>
    </row>
    <row r="58">
      <c r="P58" s="3"/>
      <c r="Q58" s="3"/>
    </row>
    <row r="59">
      <c r="P59" s="3"/>
      <c r="Q59" s="3"/>
    </row>
    <row r="60">
      <c r="P60" s="3"/>
      <c r="Q60" s="3"/>
    </row>
    <row r="61">
      <c r="Q61" s="3"/>
    </row>
    <row r="62">
      <c r="Q62" s="3"/>
    </row>
    <row r="63">
      <c r="Q63" s="3"/>
    </row>
    <row r="64">
      <c r="Q64" s="3"/>
    </row>
    <row r="65">
      <c r="Q65" s="3"/>
    </row>
    <row r="66">
      <c r="Q66" s="3"/>
    </row>
    <row r="67">
      <c r="Q67" s="3"/>
    </row>
    <row r="68">
      <c r="Q68" s="3"/>
    </row>
    <row r="69">
      <c r="Q69" s="3"/>
    </row>
    <row r="70">
      <c r="Q70" s="3"/>
    </row>
    <row r="71">
      <c r="Q71" s="3"/>
    </row>
  </sheetData>
  <mergeCells count="15">
    <mergeCell ref="H28:H37"/>
    <mergeCell ref="I28:I37"/>
    <mergeCell ref="J28:J37"/>
    <mergeCell ref="K28:K37"/>
    <mergeCell ref="L28:L37"/>
    <mergeCell ref="M28:M37"/>
    <mergeCell ref="N28:N37"/>
    <mergeCell ref="O28:O37"/>
    <mergeCell ref="A7:C7"/>
    <mergeCell ref="B28:B37"/>
    <mergeCell ref="C28:C37"/>
    <mergeCell ref="D28:D37"/>
    <mergeCell ref="E28:E37"/>
    <mergeCell ref="F28:F37"/>
    <mergeCell ref="G28:G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23.75"/>
    <col customWidth="1" min="9" max="9" width="15.5"/>
    <col customWidth="1" min="10" max="10" width="18.63"/>
    <col customWidth="1" min="11" max="11" width="13.8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46084.0</v>
      </c>
      <c r="C4" s="14" t="s">
        <v>86</v>
      </c>
      <c r="D4" s="15">
        <v>197.0</v>
      </c>
      <c r="E4" s="16">
        <v>22.0</v>
      </c>
      <c r="F4" s="16">
        <v>1.0</v>
      </c>
      <c r="G4" s="16">
        <v>2.0</v>
      </c>
      <c r="H4" s="16">
        <v>18.0</v>
      </c>
      <c r="I4" s="12">
        <f t="shared" ref="I4:I9" si="1">sum(E4:H4)</f>
        <v>43</v>
      </c>
      <c r="J4" s="17">
        <f t="shared" ref="J4:J9" si="2">I4/D4</f>
        <v>0.2182741117</v>
      </c>
      <c r="K4" s="16">
        <v>3.0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46086.0</v>
      </c>
      <c r="C5" s="14" t="s">
        <v>85</v>
      </c>
      <c r="D5" s="16">
        <v>47.0</v>
      </c>
      <c r="E5" s="16">
        <v>8.0</v>
      </c>
      <c r="F5" s="16">
        <v>1.0</v>
      </c>
      <c r="G5" s="16">
        <v>0.0</v>
      </c>
      <c r="H5" s="16">
        <v>4.0</v>
      </c>
      <c r="I5" s="12">
        <f t="shared" si="1"/>
        <v>13</v>
      </c>
      <c r="J5" s="17">
        <f t="shared" si="2"/>
        <v>0.2765957447</v>
      </c>
      <c r="K5" s="16">
        <v>0.0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46086.0</v>
      </c>
      <c r="C6" s="14" t="s">
        <v>101</v>
      </c>
      <c r="D6" s="16">
        <v>624.0</v>
      </c>
      <c r="E6" s="16">
        <v>28.0</v>
      </c>
      <c r="F6" s="16">
        <v>1.0</v>
      </c>
      <c r="G6" s="16">
        <v>7.0</v>
      </c>
      <c r="H6" s="16">
        <v>18.0</v>
      </c>
      <c r="I6" s="12">
        <f t="shared" si="1"/>
        <v>54</v>
      </c>
      <c r="J6" s="17">
        <f t="shared" si="2"/>
        <v>0.08653846154</v>
      </c>
      <c r="K6" s="16">
        <v>5.0</v>
      </c>
      <c r="L6" s="20"/>
      <c r="M6" s="20"/>
      <c r="N6" s="20"/>
      <c r="O6" s="20"/>
      <c r="P6" s="20"/>
      <c r="Q6" s="3"/>
    </row>
    <row r="7">
      <c r="A7" s="16">
        <v>4.0</v>
      </c>
      <c r="B7" s="13">
        <v>46087.0</v>
      </c>
      <c r="C7" s="14" t="s">
        <v>81</v>
      </c>
      <c r="D7" s="16">
        <v>234.0</v>
      </c>
      <c r="E7" s="16">
        <v>34.0</v>
      </c>
      <c r="F7" s="16">
        <v>1.0</v>
      </c>
      <c r="G7" s="16">
        <v>5.0</v>
      </c>
      <c r="H7" s="16">
        <v>17.0</v>
      </c>
      <c r="I7" s="12">
        <f t="shared" si="1"/>
        <v>57</v>
      </c>
      <c r="J7" s="17">
        <f t="shared" si="2"/>
        <v>0.2435897436</v>
      </c>
      <c r="K7" s="16">
        <v>11.0</v>
      </c>
      <c r="L7" s="20"/>
      <c r="M7" s="20"/>
      <c r="N7" s="20"/>
      <c r="O7" s="20"/>
      <c r="P7" s="20"/>
      <c r="Q7" s="3"/>
    </row>
    <row r="8">
      <c r="A8" s="16">
        <v>5.0</v>
      </c>
      <c r="B8" s="13">
        <v>46094.0</v>
      </c>
      <c r="C8" s="14" t="s">
        <v>84</v>
      </c>
      <c r="D8" s="16">
        <v>41.0</v>
      </c>
      <c r="E8" s="16">
        <v>6.0</v>
      </c>
      <c r="F8" s="16">
        <v>0.0</v>
      </c>
      <c r="G8" s="16">
        <v>0.0</v>
      </c>
      <c r="H8" s="16">
        <v>3.0</v>
      </c>
      <c r="I8" s="12">
        <f t="shared" si="1"/>
        <v>9</v>
      </c>
      <c r="J8" s="17">
        <f t="shared" si="2"/>
        <v>0.2195121951</v>
      </c>
      <c r="K8" s="16">
        <v>0.0</v>
      </c>
      <c r="L8" s="20"/>
      <c r="M8" s="20"/>
      <c r="N8" s="20"/>
      <c r="O8" s="20"/>
      <c r="P8" s="20"/>
      <c r="Q8" s="3"/>
    </row>
    <row r="9">
      <c r="A9" s="22" t="s">
        <v>102</v>
      </c>
      <c r="B9" s="23"/>
      <c r="C9" s="24"/>
      <c r="D9" s="25">
        <f t="shared" ref="D9:H9" si="3">SUM(D4:D8)</f>
        <v>1143</v>
      </c>
      <c r="E9" s="12">
        <f t="shared" si="3"/>
        <v>98</v>
      </c>
      <c r="F9" s="12">
        <f t="shared" si="3"/>
        <v>4</v>
      </c>
      <c r="G9" s="12">
        <f t="shared" si="3"/>
        <v>14</v>
      </c>
      <c r="H9" s="12">
        <f t="shared" si="3"/>
        <v>60</v>
      </c>
      <c r="I9" s="12">
        <f t="shared" si="1"/>
        <v>176</v>
      </c>
      <c r="J9" s="17">
        <f t="shared" si="2"/>
        <v>0.1539807524</v>
      </c>
      <c r="K9" s="12">
        <f>SUM(K4:K8)</f>
        <v>19</v>
      </c>
      <c r="L9" s="20"/>
      <c r="M9" s="20"/>
      <c r="N9" s="20"/>
      <c r="O9" s="20"/>
      <c r="P9" s="20"/>
      <c r="Q9" s="3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3"/>
    </row>
    <row r="12">
      <c r="A12" s="20" t="s">
        <v>35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"/>
    </row>
    <row r="13">
      <c r="A13" s="27" t="s">
        <v>36</v>
      </c>
      <c r="B13" s="27" t="s">
        <v>37</v>
      </c>
      <c r="C13" s="27" t="s">
        <v>39</v>
      </c>
      <c r="D13" s="27" t="s">
        <v>40</v>
      </c>
      <c r="E13" s="27" t="s">
        <v>30</v>
      </c>
      <c r="F13" s="27" t="s">
        <v>41</v>
      </c>
      <c r="G13" s="27" t="s">
        <v>42</v>
      </c>
      <c r="H13" s="27" t="s">
        <v>16</v>
      </c>
      <c r="I13" s="27" t="s">
        <v>18</v>
      </c>
      <c r="J13" s="27" t="s">
        <v>43</v>
      </c>
      <c r="K13" s="27" t="s">
        <v>17</v>
      </c>
      <c r="L13" s="27" t="s">
        <v>19</v>
      </c>
      <c r="M13" s="27" t="s">
        <v>44</v>
      </c>
      <c r="N13" s="27" t="s">
        <v>45</v>
      </c>
      <c r="O13" s="27" t="s">
        <v>46</v>
      </c>
      <c r="P13" s="20"/>
      <c r="Q13" s="3"/>
    </row>
    <row r="14">
      <c r="A14" s="14" t="s">
        <v>86</v>
      </c>
      <c r="B14" s="14" t="s">
        <v>104</v>
      </c>
      <c r="C14" s="14" t="s">
        <v>48</v>
      </c>
      <c r="D14" s="14">
        <v>452.27</v>
      </c>
      <c r="E14" s="38">
        <v>3244.0</v>
      </c>
      <c r="F14" s="14">
        <v>141.0</v>
      </c>
      <c r="G14" s="14">
        <v>19.0</v>
      </c>
      <c r="H14" s="14">
        <v>0.0</v>
      </c>
      <c r="I14" s="14">
        <v>14.0</v>
      </c>
      <c r="J14" s="14">
        <v>5.0</v>
      </c>
      <c r="K14" s="14">
        <v>1.0</v>
      </c>
      <c r="L14" s="14">
        <f>sum(G14:K14)</f>
        <v>39</v>
      </c>
      <c r="M14" s="33">
        <f>F14/E14</f>
        <v>0.0434648582</v>
      </c>
      <c r="N14" s="35">
        <f>D14/F14</f>
        <v>3.207588652</v>
      </c>
      <c r="O14" s="35">
        <f>D14/E14*1000</f>
        <v>139.4173859</v>
      </c>
      <c r="P14" s="20"/>
      <c r="Q14" s="3"/>
    </row>
    <row r="15">
      <c r="A15" s="14" t="s">
        <v>85</v>
      </c>
      <c r="B15" s="14" t="s">
        <v>105</v>
      </c>
      <c r="C15" s="14" t="s">
        <v>48</v>
      </c>
      <c r="D15" s="14">
        <v>0.0</v>
      </c>
      <c r="E15" s="14" t="s">
        <v>53</v>
      </c>
      <c r="F15" s="14" t="s">
        <v>53</v>
      </c>
      <c r="G15" s="14" t="s">
        <v>53</v>
      </c>
      <c r="H15" s="14" t="s">
        <v>53</v>
      </c>
      <c r="I15" s="14" t="s">
        <v>53</v>
      </c>
      <c r="J15" s="14" t="s">
        <v>53</v>
      </c>
      <c r="K15" s="14" t="s">
        <v>53</v>
      </c>
      <c r="L15" s="14" t="s">
        <v>53</v>
      </c>
      <c r="M15" s="14" t="s">
        <v>53</v>
      </c>
      <c r="N15" s="31" t="s">
        <v>53</v>
      </c>
      <c r="O15" s="31" t="s">
        <v>53</v>
      </c>
      <c r="P15" s="20"/>
      <c r="Q15" s="3"/>
    </row>
    <row r="16">
      <c r="A16" s="14" t="s">
        <v>101</v>
      </c>
      <c r="B16" s="14" t="s">
        <v>105</v>
      </c>
      <c r="C16" s="14" t="s">
        <v>48</v>
      </c>
      <c r="D16" s="14">
        <v>553.52</v>
      </c>
      <c r="E16" s="38">
        <v>9152.0</v>
      </c>
      <c r="F16" s="14">
        <v>495.0</v>
      </c>
      <c r="G16" s="14">
        <v>22.0</v>
      </c>
      <c r="H16" s="14">
        <v>2.0</v>
      </c>
      <c r="I16" s="14">
        <v>17.0</v>
      </c>
      <c r="J16" s="14">
        <v>6.0</v>
      </c>
      <c r="K16" s="14">
        <v>5.0</v>
      </c>
      <c r="L16" s="14">
        <f t="shared" ref="L16:L17" si="4">sum(G16:K16)</f>
        <v>52</v>
      </c>
      <c r="M16" s="33">
        <f t="shared" ref="M16:M17" si="5">F16/E16</f>
        <v>0.05408653846</v>
      </c>
      <c r="N16" s="35">
        <f t="shared" ref="N16:N17" si="6">D16/F16</f>
        <v>1.118222222</v>
      </c>
      <c r="O16" s="35">
        <f t="shared" ref="O16:O17" si="7">D16/E16*1000</f>
        <v>60.48076923</v>
      </c>
      <c r="P16" s="20"/>
      <c r="Q16" s="3"/>
    </row>
    <row r="17">
      <c r="A17" s="14" t="s">
        <v>81</v>
      </c>
      <c r="B17" s="14" t="s">
        <v>106</v>
      </c>
      <c r="C17" s="14" t="s">
        <v>48</v>
      </c>
      <c r="D17" s="14">
        <v>536.61</v>
      </c>
      <c r="E17" s="38">
        <v>2615.0</v>
      </c>
      <c r="F17" s="14">
        <v>138.0</v>
      </c>
      <c r="G17" s="14">
        <v>27.0</v>
      </c>
      <c r="H17" s="14">
        <v>1.0</v>
      </c>
      <c r="I17" s="14">
        <v>11.0</v>
      </c>
      <c r="J17" s="14">
        <v>11.0</v>
      </c>
      <c r="K17" s="14">
        <v>3.0</v>
      </c>
      <c r="L17" s="14">
        <f t="shared" si="4"/>
        <v>53</v>
      </c>
      <c r="M17" s="33">
        <f t="shared" si="5"/>
        <v>0.05277246654</v>
      </c>
      <c r="N17" s="35">
        <f t="shared" si="6"/>
        <v>3.888478261</v>
      </c>
      <c r="O17" s="35">
        <f t="shared" si="7"/>
        <v>205.2045889</v>
      </c>
      <c r="P17" s="20"/>
      <c r="Q17" s="3"/>
    </row>
    <row r="18">
      <c r="A18" s="14" t="s">
        <v>84</v>
      </c>
      <c r="B18" s="14" t="s">
        <v>107</v>
      </c>
      <c r="C18" s="14" t="s">
        <v>48</v>
      </c>
      <c r="D18" s="14">
        <v>0.0</v>
      </c>
      <c r="E18" s="14" t="s">
        <v>53</v>
      </c>
      <c r="F18" s="14" t="s">
        <v>53</v>
      </c>
      <c r="G18" s="14" t="s">
        <v>53</v>
      </c>
      <c r="H18" s="14" t="s">
        <v>53</v>
      </c>
      <c r="I18" s="14" t="s">
        <v>53</v>
      </c>
      <c r="J18" s="14" t="s">
        <v>53</v>
      </c>
      <c r="K18" s="14" t="s">
        <v>53</v>
      </c>
      <c r="L18" s="14" t="s">
        <v>53</v>
      </c>
      <c r="M18" s="14" t="s">
        <v>53</v>
      </c>
      <c r="N18" s="31" t="s">
        <v>53</v>
      </c>
      <c r="O18" s="31" t="s">
        <v>53</v>
      </c>
      <c r="P18" s="20"/>
      <c r="Q18" s="3"/>
    </row>
    <row r="19">
      <c r="A19" s="16" t="s">
        <v>108</v>
      </c>
      <c r="B19" s="36"/>
      <c r="C19" s="36"/>
      <c r="D19" s="37">
        <f t="shared" ref="D19:L19" si="8">SUM(D14:D18)</f>
        <v>1542.4</v>
      </c>
      <c r="E19" s="28">
        <f t="shared" si="8"/>
        <v>15011</v>
      </c>
      <c r="F19" s="25">
        <f t="shared" si="8"/>
        <v>774</v>
      </c>
      <c r="G19" s="12">
        <f t="shared" si="8"/>
        <v>68</v>
      </c>
      <c r="H19" s="12">
        <f t="shared" si="8"/>
        <v>3</v>
      </c>
      <c r="I19" s="12">
        <f t="shared" si="8"/>
        <v>42</v>
      </c>
      <c r="J19" s="12">
        <f t="shared" si="8"/>
        <v>22</v>
      </c>
      <c r="K19" s="12">
        <f t="shared" si="8"/>
        <v>9</v>
      </c>
      <c r="L19" s="12">
        <f t="shared" si="8"/>
        <v>144</v>
      </c>
      <c r="M19" s="17">
        <f>F19/E19</f>
        <v>0.05156218773</v>
      </c>
      <c r="N19" s="32">
        <f>D19/F19</f>
        <v>1.992764858</v>
      </c>
      <c r="O19" s="32">
        <f>D19/E19*1000</f>
        <v>102.7513157</v>
      </c>
      <c r="P19" s="20"/>
      <c r="Q19" s="3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20"/>
      <c r="B21" s="40">
        <v>1542.4</v>
      </c>
      <c r="C21" s="26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59</v>
      </c>
      <c r="B22" s="42">
        <v>1759.0</v>
      </c>
      <c r="C22" s="43">
        <v>1.1405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60</v>
      </c>
      <c r="B23" s="44">
        <v>144.0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41" t="s">
        <v>61</v>
      </c>
      <c r="B24" s="44">
        <v>15011.0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41" t="s">
        <v>63</v>
      </c>
      <c r="B25" s="45">
        <f>B22/B23</f>
        <v>12.21527778</v>
      </c>
      <c r="C25" s="40">
        <v>10.72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41" t="s">
        <v>64</v>
      </c>
      <c r="B26" s="46">
        <f>B22/B24*1000</f>
        <v>117.1807341</v>
      </c>
      <c r="C26" s="40">
        <v>102.75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3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3"/>
    </row>
    <row r="29">
      <c r="A29" s="20" t="s">
        <v>65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3"/>
    </row>
    <row r="30">
      <c r="A30" s="27" t="s">
        <v>36</v>
      </c>
      <c r="B30" s="27" t="s">
        <v>37</v>
      </c>
      <c r="C30" s="27" t="s">
        <v>39</v>
      </c>
      <c r="D30" s="27" t="s">
        <v>40</v>
      </c>
      <c r="E30" s="27" t="s">
        <v>30</v>
      </c>
      <c r="F30" s="27" t="s">
        <v>41</v>
      </c>
      <c r="G30" s="27" t="s">
        <v>42</v>
      </c>
      <c r="H30" s="27" t="s">
        <v>16</v>
      </c>
      <c r="I30" s="27" t="s">
        <v>18</v>
      </c>
      <c r="J30" s="27" t="s">
        <v>43</v>
      </c>
      <c r="K30" s="47" t="s">
        <v>66</v>
      </c>
      <c r="L30" s="47" t="s">
        <v>68</v>
      </c>
      <c r="M30" s="27" t="s">
        <v>44</v>
      </c>
      <c r="N30" s="27" t="s">
        <v>45</v>
      </c>
      <c r="O30" s="27" t="s">
        <v>46</v>
      </c>
      <c r="P30" s="20"/>
      <c r="Q30" s="3"/>
    </row>
    <row r="31">
      <c r="A31" s="14" t="s">
        <v>101</v>
      </c>
      <c r="B31" s="51">
        <v>46090.0</v>
      </c>
      <c r="C31" s="82" t="s">
        <v>74</v>
      </c>
      <c r="D31" s="52">
        <v>150.0</v>
      </c>
      <c r="E31" s="54">
        <v>2198.0</v>
      </c>
      <c r="F31" s="52">
        <v>238.0</v>
      </c>
      <c r="G31" s="52">
        <v>8.0</v>
      </c>
      <c r="H31" s="52">
        <v>0.0</v>
      </c>
      <c r="I31" s="52">
        <v>7.0</v>
      </c>
      <c r="J31" s="52">
        <v>21.0</v>
      </c>
      <c r="K31" s="52">
        <v>46.0</v>
      </c>
      <c r="L31" s="52">
        <v>4.0</v>
      </c>
      <c r="M31" s="49">
        <f>F31/E31</f>
        <v>0.1082802548</v>
      </c>
      <c r="N31" s="50">
        <f>D31/F31</f>
        <v>0.6302521008</v>
      </c>
      <c r="O31" s="50">
        <f>D31/E31*1000</f>
        <v>68.24385805</v>
      </c>
      <c r="P31" s="20"/>
      <c r="Q31" s="3"/>
    </row>
    <row r="32">
      <c r="A32" s="14" t="s">
        <v>85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14" t="s">
        <v>78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14" t="s">
        <v>93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109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14" t="s">
        <v>55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20"/>
      <c r="Q36" s="3"/>
    </row>
    <row r="37">
      <c r="A37" s="14" t="s">
        <v>110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20"/>
      <c r="Q37" s="3"/>
    </row>
    <row r="38">
      <c r="A38" s="14" t="s">
        <v>111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20"/>
      <c r="Q38" s="3"/>
    </row>
    <row r="39">
      <c r="A39" s="14" t="s">
        <v>89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20"/>
      <c r="Q39" s="3"/>
    </row>
    <row r="40">
      <c r="A40" s="14" t="s">
        <v>112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20"/>
      <c r="Q40" s="3"/>
    </row>
    <row r="41">
      <c r="A41" s="14" t="s">
        <v>101</v>
      </c>
      <c r="B41" s="51">
        <v>46094.0</v>
      </c>
      <c r="C41" s="82" t="s">
        <v>74</v>
      </c>
      <c r="D41" s="52">
        <v>300.0</v>
      </c>
      <c r="E41" s="54">
        <v>5120.0</v>
      </c>
      <c r="F41" s="52">
        <v>538.0</v>
      </c>
      <c r="G41" s="52">
        <v>34.0</v>
      </c>
      <c r="H41" s="52">
        <v>0.0</v>
      </c>
      <c r="I41" s="52">
        <v>8.0</v>
      </c>
      <c r="J41" s="52">
        <v>97.0</v>
      </c>
      <c r="K41" s="52">
        <v>101.0</v>
      </c>
      <c r="L41" s="52">
        <v>1.0</v>
      </c>
      <c r="M41" s="49">
        <f>F41/E41</f>
        <v>0.105078125</v>
      </c>
      <c r="N41" s="50">
        <f>D41/F41</f>
        <v>0.5576208178</v>
      </c>
      <c r="O41" s="50">
        <f>D41/E41*1000</f>
        <v>58.59375</v>
      </c>
      <c r="P41" s="20"/>
      <c r="Q41" s="3"/>
    </row>
    <row r="42">
      <c r="A42" s="14" t="s">
        <v>85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20"/>
      <c r="Q42" s="3"/>
    </row>
    <row r="43">
      <c r="A43" s="14" t="s">
        <v>78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20"/>
      <c r="Q43" s="3"/>
    </row>
    <row r="44">
      <c r="A44" s="14" t="s">
        <v>93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20"/>
      <c r="Q44" s="3"/>
    </row>
    <row r="45">
      <c r="A45" s="14" t="s">
        <v>109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0"/>
      <c r="Q45" s="3"/>
    </row>
    <row r="46">
      <c r="A46" s="14" t="s">
        <v>55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20"/>
      <c r="Q46" s="3"/>
    </row>
    <row r="47">
      <c r="A47" s="14" t="s">
        <v>110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20"/>
      <c r="Q47" s="3"/>
    </row>
    <row r="48">
      <c r="A48" s="14" t="s">
        <v>111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20"/>
      <c r="Q48" s="3"/>
    </row>
    <row r="49">
      <c r="A49" s="14" t="s">
        <v>89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20"/>
      <c r="Q49" s="3"/>
    </row>
    <row r="50">
      <c r="A50" s="14" t="s">
        <v>112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20"/>
      <c r="Q50" s="3"/>
    </row>
    <row r="51">
      <c r="A51" s="14" t="s">
        <v>81</v>
      </c>
      <c r="B51" s="51">
        <v>46108.0</v>
      </c>
      <c r="C51" s="82" t="s">
        <v>74</v>
      </c>
      <c r="D51" s="52">
        <v>450.0</v>
      </c>
      <c r="E51" s="54">
        <v>6674.0</v>
      </c>
      <c r="F51" s="52">
        <v>624.0</v>
      </c>
      <c r="G51" s="52">
        <v>26.0</v>
      </c>
      <c r="H51" s="52">
        <v>1.0</v>
      </c>
      <c r="I51" s="52">
        <v>12.0</v>
      </c>
      <c r="J51" s="52">
        <v>84.0</v>
      </c>
      <c r="K51" s="52">
        <v>120.0</v>
      </c>
      <c r="L51" s="52">
        <v>2.0</v>
      </c>
      <c r="M51" s="49">
        <f>F51/E51</f>
        <v>0.09349715313</v>
      </c>
      <c r="N51" s="50">
        <f>D51/F51</f>
        <v>0.7211538462</v>
      </c>
      <c r="O51" s="50">
        <f>D51/E51*1000</f>
        <v>67.42583159</v>
      </c>
      <c r="P51" s="20"/>
      <c r="Q51" s="3"/>
    </row>
    <row r="52">
      <c r="A52" s="14" t="s">
        <v>101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20"/>
      <c r="Q52" s="3"/>
    </row>
    <row r="53">
      <c r="A53" s="14" t="s">
        <v>78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20"/>
      <c r="Q53" s="3"/>
    </row>
    <row r="54">
      <c r="A54" s="14" t="s">
        <v>93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20"/>
      <c r="Q54" s="3"/>
    </row>
    <row r="55">
      <c r="A55" s="14" t="s">
        <v>109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20"/>
      <c r="Q55" s="3"/>
    </row>
    <row r="56">
      <c r="A56" s="14" t="s">
        <v>55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0"/>
      <c r="Q56" s="3"/>
    </row>
    <row r="57">
      <c r="A57" s="14" t="s">
        <v>110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0"/>
      <c r="Q57" s="3"/>
    </row>
    <row r="58">
      <c r="A58" s="14" t="s">
        <v>111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20"/>
      <c r="Q58" s="3"/>
    </row>
    <row r="59">
      <c r="A59" s="14" t="s">
        <v>89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20"/>
      <c r="Q59" s="3"/>
    </row>
    <row r="60">
      <c r="A60" s="14" t="s">
        <v>112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20"/>
      <c r="Q60" s="3"/>
    </row>
    <row r="61">
      <c r="A61" s="16" t="s">
        <v>108</v>
      </c>
      <c r="B61" s="36"/>
      <c r="C61" s="36"/>
      <c r="D61" s="28">
        <f t="shared" ref="D61:L61" si="9">SUM(D31:D60)</f>
        <v>900</v>
      </c>
      <c r="E61" s="28">
        <f t="shared" si="9"/>
        <v>13992</v>
      </c>
      <c r="F61" s="25">
        <f t="shared" si="9"/>
        <v>1400</v>
      </c>
      <c r="G61" s="12">
        <f t="shared" si="9"/>
        <v>68</v>
      </c>
      <c r="H61" s="12">
        <f t="shared" si="9"/>
        <v>1</v>
      </c>
      <c r="I61" s="12">
        <f t="shared" si="9"/>
        <v>27</v>
      </c>
      <c r="J61" s="12">
        <f t="shared" si="9"/>
        <v>202</v>
      </c>
      <c r="K61" s="12">
        <f t="shared" si="9"/>
        <v>267</v>
      </c>
      <c r="L61" s="12">
        <f t="shared" si="9"/>
        <v>7</v>
      </c>
      <c r="M61" s="17">
        <f>F61/E61</f>
        <v>0.1000571755</v>
      </c>
      <c r="N61" s="32">
        <f>D61/F61</f>
        <v>0.6428571429</v>
      </c>
      <c r="O61" s="32">
        <f>D61/E61*1000</f>
        <v>64.32246998</v>
      </c>
      <c r="P61" s="20"/>
      <c r="Q61" s="3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3"/>
    </row>
    <row r="63">
      <c r="A63" s="20"/>
      <c r="B63" s="40">
        <v>900.0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3"/>
    </row>
    <row r="64">
      <c r="A64" s="41" t="s">
        <v>59</v>
      </c>
      <c r="B64" s="42">
        <v>1026.39</v>
      </c>
      <c r="C64" s="43">
        <v>1.1405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3"/>
    </row>
    <row r="65">
      <c r="A65" s="41" t="s">
        <v>61</v>
      </c>
      <c r="B65" s="44">
        <v>13992.0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3"/>
    </row>
    <row r="66">
      <c r="A66" s="58" t="s">
        <v>44</v>
      </c>
      <c r="B66" s="59">
        <v>0.1001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58" t="s">
        <v>79</v>
      </c>
      <c r="B67" s="61">
        <v>0.64</v>
      </c>
      <c r="C67" s="69">
        <v>0.56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58" t="s">
        <v>64</v>
      </c>
      <c r="B68" s="63">
        <f>B64/B65*1000</f>
        <v>73.35548885</v>
      </c>
      <c r="C68" s="64">
        <v>64.33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7">
      <c r="A77" s="27" t="s">
        <v>36</v>
      </c>
      <c r="B77" s="27" t="s">
        <v>37</v>
      </c>
      <c r="C77" s="27" t="s">
        <v>39</v>
      </c>
      <c r="D77" s="27" t="s">
        <v>40</v>
      </c>
      <c r="E77" s="27" t="s">
        <v>30</v>
      </c>
      <c r="F77" s="27" t="s">
        <v>41</v>
      </c>
      <c r="G77" s="27" t="s">
        <v>42</v>
      </c>
      <c r="H77" s="27" t="s">
        <v>16</v>
      </c>
      <c r="I77" s="27" t="s">
        <v>18</v>
      </c>
      <c r="J77" s="27" t="s">
        <v>43</v>
      </c>
      <c r="K77" s="47" t="s">
        <v>66</v>
      </c>
      <c r="L77" s="47" t="s">
        <v>68</v>
      </c>
      <c r="M77" s="27" t="s">
        <v>44</v>
      </c>
      <c r="N77" s="27" t="s">
        <v>45</v>
      </c>
      <c r="O77" s="27" t="s">
        <v>46</v>
      </c>
    </row>
    <row r="78">
      <c r="A78" s="14" t="s">
        <v>101</v>
      </c>
      <c r="B78" s="52" t="s">
        <v>130</v>
      </c>
      <c r="C78" s="82" t="s">
        <v>74</v>
      </c>
      <c r="D78" s="93">
        <v>900.0</v>
      </c>
      <c r="E78" s="93">
        <v>13992.0</v>
      </c>
      <c r="F78" s="54">
        <v>1400.0</v>
      </c>
      <c r="G78" s="52">
        <v>68.0</v>
      </c>
      <c r="H78" s="52">
        <v>1.0</v>
      </c>
      <c r="I78" s="52">
        <v>27.0</v>
      </c>
      <c r="J78" s="52">
        <v>202.0</v>
      </c>
      <c r="K78" s="52">
        <v>267.0</v>
      </c>
      <c r="L78" s="52">
        <v>7.0</v>
      </c>
      <c r="M78" s="94">
        <v>0.1001</v>
      </c>
      <c r="N78" s="95">
        <v>0.64</v>
      </c>
      <c r="O78" s="95">
        <v>64.32</v>
      </c>
    </row>
    <row r="79">
      <c r="A79" s="14" t="s">
        <v>85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>
      <c r="A80" s="14" t="s">
        <v>78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</row>
    <row r="81">
      <c r="A81" s="14" t="s">
        <v>93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</row>
    <row r="82">
      <c r="A82" s="14" t="s">
        <v>109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</row>
    <row r="83">
      <c r="A83" s="14" t="s">
        <v>55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>
      <c r="A84" s="14" t="s">
        <v>110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>
      <c r="A85" s="14" t="s">
        <v>111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</row>
    <row r="86">
      <c r="A86" s="14" t="s">
        <v>89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</row>
    <row r="87">
      <c r="A87" s="14" t="s">
        <v>112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</row>
    <row r="88">
      <c r="A88" s="16" t="s">
        <v>120</v>
      </c>
      <c r="B88" s="36"/>
      <c r="C88" s="36"/>
      <c r="D88" s="29">
        <v>900.0</v>
      </c>
      <c r="E88" s="29">
        <v>13992.0</v>
      </c>
      <c r="F88" s="15">
        <v>1400.0</v>
      </c>
      <c r="G88" s="16">
        <v>68.0</v>
      </c>
      <c r="H88" s="16">
        <v>1.0</v>
      </c>
      <c r="I88" s="16">
        <v>27.0</v>
      </c>
      <c r="J88" s="16">
        <v>202.0</v>
      </c>
      <c r="K88" s="16">
        <v>267.0</v>
      </c>
      <c r="L88" s="16">
        <v>7.0</v>
      </c>
      <c r="M88" s="100">
        <v>0.1001</v>
      </c>
      <c r="N88" s="101">
        <v>0.64</v>
      </c>
      <c r="O88" s="101">
        <v>64.32</v>
      </c>
    </row>
    <row r="92">
      <c r="F92" s="102">
        <v>13992.0</v>
      </c>
    </row>
    <row r="93">
      <c r="F93" s="103">
        <v>15011.0</v>
      </c>
    </row>
    <row r="94">
      <c r="F94" s="103"/>
    </row>
  </sheetData>
  <mergeCells count="57">
    <mergeCell ref="H31:H40"/>
    <mergeCell ref="I31:I40"/>
    <mergeCell ref="J31:J40"/>
    <mergeCell ref="K31:K40"/>
    <mergeCell ref="L31:L40"/>
    <mergeCell ref="M31:M40"/>
    <mergeCell ref="N31:N40"/>
    <mergeCell ref="O31:O40"/>
    <mergeCell ref="A9:C9"/>
    <mergeCell ref="B31:B40"/>
    <mergeCell ref="C31:C40"/>
    <mergeCell ref="D31:D40"/>
    <mergeCell ref="E31:E40"/>
    <mergeCell ref="F31:F40"/>
    <mergeCell ref="G31:G40"/>
    <mergeCell ref="I41:I50"/>
    <mergeCell ref="J41:J50"/>
    <mergeCell ref="K41:K50"/>
    <mergeCell ref="L41:L50"/>
    <mergeCell ref="M41:M50"/>
    <mergeCell ref="N41:N50"/>
    <mergeCell ref="O41:O50"/>
    <mergeCell ref="B41:B50"/>
    <mergeCell ref="C41:C50"/>
    <mergeCell ref="D41:D50"/>
    <mergeCell ref="E41:E50"/>
    <mergeCell ref="F41:F50"/>
    <mergeCell ref="G41:G50"/>
    <mergeCell ref="H41:H50"/>
    <mergeCell ref="I51:I60"/>
    <mergeCell ref="J51:J60"/>
    <mergeCell ref="K51:K60"/>
    <mergeCell ref="L51:L60"/>
    <mergeCell ref="M51:M60"/>
    <mergeCell ref="N51:N60"/>
    <mergeCell ref="O51:O60"/>
    <mergeCell ref="B51:B60"/>
    <mergeCell ref="C51:C60"/>
    <mergeCell ref="D51:D60"/>
    <mergeCell ref="E51:E60"/>
    <mergeCell ref="F51:F60"/>
    <mergeCell ref="G51:G60"/>
    <mergeCell ref="H51:H60"/>
    <mergeCell ref="I78:I87"/>
    <mergeCell ref="J78:J87"/>
    <mergeCell ref="K78:K87"/>
    <mergeCell ref="L78:L87"/>
    <mergeCell ref="M78:M87"/>
    <mergeCell ref="N78:N87"/>
    <mergeCell ref="O78:O87"/>
    <mergeCell ref="B78:B87"/>
    <mergeCell ref="C78:C87"/>
    <mergeCell ref="D78:D87"/>
    <mergeCell ref="E78:E87"/>
    <mergeCell ref="F78:F87"/>
    <mergeCell ref="G78:G87"/>
    <mergeCell ref="H78:H8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13">
        <v>46058.0</v>
      </c>
      <c r="C4" s="14" t="s">
        <v>100</v>
      </c>
      <c r="D4" s="16">
        <v>75.0</v>
      </c>
      <c r="E4" s="16">
        <v>6.0</v>
      </c>
      <c r="F4" s="16">
        <v>1.0</v>
      </c>
      <c r="G4" s="16">
        <v>0.0</v>
      </c>
      <c r="H4" s="16">
        <v>3.0</v>
      </c>
      <c r="I4" s="12">
        <f t="shared" ref="I4:I8" si="1">sum(E4:H4)</f>
        <v>10</v>
      </c>
      <c r="J4" s="17">
        <f t="shared" ref="J4:J8" si="2">I4/D4</f>
        <v>0.1333333333</v>
      </c>
      <c r="K4" s="16">
        <v>0.0</v>
      </c>
      <c r="L4" s="20"/>
      <c r="M4" s="20"/>
      <c r="N4" s="20"/>
      <c r="O4" s="20"/>
      <c r="P4" s="20"/>
      <c r="Q4" s="3"/>
    </row>
    <row r="5">
      <c r="A5" s="12">
        <v>2.0</v>
      </c>
      <c r="B5" s="13">
        <v>46059.0</v>
      </c>
      <c r="C5" s="14" t="s">
        <v>113</v>
      </c>
      <c r="D5" s="16">
        <v>96.0</v>
      </c>
      <c r="E5" s="16">
        <v>12.0</v>
      </c>
      <c r="F5" s="16">
        <v>2.0</v>
      </c>
      <c r="G5" s="16">
        <v>0.0</v>
      </c>
      <c r="H5" s="16">
        <v>5.0</v>
      </c>
      <c r="I5" s="12">
        <f t="shared" si="1"/>
        <v>19</v>
      </c>
      <c r="J5" s="17">
        <f t="shared" si="2"/>
        <v>0.1979166667</v>
      </c>
      <c r="K5" s="16">
        <v>2.0</v>
      </c>
      <c r="L5" s="20"/>
      <c r="M5" s="20"/>
      <c r="N5" s="20"/>
      <c r="O5" s="20"/>
      <c r="P5" s="20"/>
      <c r="Q5" s="3"/>
    </row>
    <row r="6">
      <c r="A6" s="16">
        <v>3.0</v>
      </c>
      <c r="B6" s="13">
        <v>46069.0</v>
      </c>
      <c r="C6" s="14" t="s">
        <v>99</v>
      </c>
      <c r="D6" s="16">
        <v>91.0</v>
      </c>
      <c r="E6" s="16">
        <v>10.0</v>
      </c>
      <c r="F6" s="16">
        <v>1.0</v>
      </c>
      <c r="G6" s="16">
        <v>1.0</v>
      </c>
      <c r="H6" s="16">
        <v>4.0</v>
      </c>
      <c r="I6" s="12">
        <f t="shared" si="1"/>
        <v>16</v>
      </c>
      <c r="J6" s="17">
        <f t="shared" si="2"/>
        <v>0.1758241758</v>
      </c>
      <c r="K6" s="16">
        <v>1.0</v>
      </c>
      <c r="L6" s="20"/>
      <c r="M6" s="20"/>
      <c r="N6" s="20"/>
      <c r="O6" s="20"/>
      <c r="P6" s="20"/>
      <c r="Q6" s="3"/>
    </row>
    <row r="7">
      <c r="A7" s="16">
        <v>4.0</v>
      </c>
      <c r="B7" s="13">
        <v>46073.0</v>
      </c>
      <c r="C7" s="14" t="s">
        <v>78</v>
      </c>
      <c r="D7" s="16">
        <v>96.0</v>
      </c>
      <c r="E7" s="16">
        <v>20.0</v>
      </c>
      <c r="F7" s="16">
        <v>1.0</v>
      </c>
      <c r="G7" s="16">
        <v>0.0</v>
      </c>
      <c r="H7" s="16">
        <v>10.0</v>
      </c>
      <c r="I7" s="12">
        <f t="shared" si="1"/>
        <v>31</v>
      </c>
      <c r="J7" s="17">
        <f t="shared" si="2"/>
        <v>0.3229166667</v>
      </c>
      <c r="K7" s="16">
        <v>4.0</v>
      </c>
      <c r="L7" s="20"/>
      <c r="M7" s="20"/>
      <c r="N7" s="20"/>
      <c r="O7" s="20"/>
      <c r="P7" s="20"/>
      <c r="Q7" s="3"/>
    </row>
    <row r="8">
      <c r="A8" s="22" t="s">
        <v>114</v>
      </c>
      <c r="B8" s="23"/>
      <c r="C8" s="24"/>
      <c r="D8" s="12">
        <f t="shared" ref="D8:H8" si="3">SUM(D4:D7)</f>
        <v>358</v>
      </c>
      <c r="E8" s="12">
        <f t="shared" si="3"/>
        <v>48</v>
      </c>
      <c r="F8" s="12">
        <f t="shared" si="3"/>
        <v>5</v>
      </c>
      <c r="G8" s="12">
        <f t="shared" si="3"/>
        <v>1</v>
      </c>
      <c r="H8" s="12">
        <f t="shared" si="3"/>
        <v>22</v>
      </c>
      <c r="I8" s="12">
        <f t="shared" si="1"/>
        <v>76</v>
      </c>
      <c r="J8" s="17">
        <f t="shared" si="2"/>
        <v>0.2122905028</v>
      </c>
      <c r="K8" s="12">
        <f>SUM(K4:K7)</f>
        <v>7</v>
      </c>
      <c r="L8" s="20"/>
      <c r="M8" s="20"/>
      <c r="N8" s="20"/>
      <c r="O8" s="20"/>
      <c r="P8" s="20"/>
      <c r="Q8" s="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3"/>
    </row>
    <row r="11">
      <c r="A11" s="20" t="s">
        <v>35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3"/>
    </row>
    <row r="12">
      <c r="A12" s="27" t="s">
        <v>36</v>
      </c>
      <c r="B12" s="27" t="s">
        <v>37</v>
      </c>
      <c r="C12" s="27" t="s">
        <v>39</v>
      </c>
      <c r="D12" s="27" t="s">
        <v>40</v>
      </c>
      <c r="E12" s="27" t="s">
        <v>30</v>
      </c>
      <c r="F12" s="27" t="s">
        <v>41</v>
      </c>
      <c r="G12" s="27" t="s">
        <v>42</v>
      </c>
      <c r="H12" s="27" t="s">
        <v>16</v>
      </c>
      <c r="I12" s="27" t="s">
        <v>18</v>
      </c>
      <c r="J12" s="27" t="s">
        <v>43</v>
      </c>
      <c r="K12" s="27" t="s">
        <v>17</v>
      </c>
      <c r="L12" s="27" t="s">
        <v>19</v>
      </c>
      <c r="M12" s="27" t="s">
        <v>44</v>
      </c>
      <c r="N12" s="27" t="s">
        <v>45</v>
      </c>
      <c r="O12" s="27" t="s">
        <v>46</v>
      </c>
      <c r="P12" s="20"/>
      <c r="Q12" s="3"/>
    </row>
    <row r="13">
      <c r="A13" s="14" t="s">
        <v>100</v>
      </c>
      <c r="B13" s="67" t="s">
        <v>53</v>
      </c>
      <c r="C13" s="67" t="s">
        <v>53</v>
      </c>
      <c r="D13" s="67" t="s">
        <v>53</v>
      </c>
      <c r="E13" s="67" t="s">
        <v>53</v>
      </c>
      <c r="F13" s="67" t="s">
        <v>53</v>
      </c>
      <c r="G13" s="67" t="s">
        <v>53</v>
      </c>
      <c r="H13" s="67" t="s">
        <v>53</v>
      </c>
      <c r="I13" s="67" t="s">
        <v>53</v>
      </c>
      <c r="J13" s="67" t="s">
        <v>53</v>
      </c>
      <c r="K13" s="67" t="s">
        <v>53</v>
      </c>
      <c r="L13" s="67" t="s">
        <v>53</v>
      </c>
      <c r="M13" s="67" t="s">
        <v>53</v>
      </c>
      <c r="N13" s="67" t="s">
        <v>53</v>
      </c>
      <c r="O13" s="67" t="s">
        <v>53</v>
      </c>
      <c r="P13" s="20"/>
      <c r="Q13" s="3"/>
    </row>
    <row r="14">
      <c r="A14" s="14" t="s">
        <v>113</v>
      </c>
      <c r="B14" s="14" t="s">
        <v>115</v>
      </c>
      <c r="C14" s="14" t="s">
        <v>48</v>
      </c>
      <c r="D14" s="14">
        <v>165.21</v>
      </c>
      <c r="E14" s="14">
        <v>727.0</v>
      </c>
      <c r="F14" s="14">
        <v>38.0</v>
      </c>
      <c r="G14" s="14">
        <v>8.0</v>
      </c>
      <c r="H14" s="14">
        <v>0.0</v>
      </c>
      <c r="I14" s="14">
        <v>3.0</v>
      </c>
      <c r="J14" s="14">
        <v>2.0</v>
      </c>
      <c r="K14" s="14">
        <v>0.0</v>
      </c>
      <c r="L14" s="14">
        <f>sum(G14:K14)</f>
        <v>13</v>
      </c>
      <c r="M14" s="33">
        <f>F14/E14</f>
        <v>0.0522696011</v>
      </c>
      <c r="N14" s="35">
        <f>D14/F14</f>
        <v>4.347631579</v>
      </c>
      <c r="O14" s="35">
        <f>D14/E14*1000</f>
        <v>227.2489684</v>
      </c>
      <c r="P14" s="20"/>
      <c r="Q14" s="3"/>
    </row>
    <row r="15">
      <c r="A15" s="14" t="s">
        <v>99</v>
      </c>
      <c r="B15" s="67" t="s">
        <v>53</v>
      </c>
      <c r="C15" s="67" t="s">
        <v>53</v>
      </c>
      <c r="D15" s="67" t="s">
        <v>53</v>
      </c>
      <c r="E15" s="67" t="s">
        <v>53</v>
      </c>
      <c r="F15" s="67" t="s">
        <v>53</v>
      </c>
      <c r="G15" s="67" t="s">
        <v>53</v>
      </c>
      <c r="H15" s="67" t="s">
        <v>53</v>
      </c>
      <c r="I15" s="67" t="s">
        <v>53</v>
      </c>
      <c r="J15" s="67" t="s">
        <v>53</v>
      </c>
      <c r="K15" s="67" t="s">
        <v>53</v>
      </c>
      <c r="L15" s="67" t="s">
        <v>53</v>
      </c>
      <c r="M15" s="67" t="s">
        <v>53</v>
      </c>
      <c r="N15" s="67" t="s">
        <v>53</v>
      </c>
      <c r="O15" s="67" t="s">
        <v>53</v>
      </c>
      <c r="P15" s="20"/>
      <c r="Q15" s="3"/>
    </row>
    <row r="16">
      <c r="A16" s="14" t="s">
        <v>78</v>
      </c>
      <c r="B16" s="14" t="s">
        <v>118</v>
      </c>
      <c r="C16" s="14" t="s">
        <v>119</v>
      </c>
      <c r="D16" s="14">
        <v>231.38</v>
      </c>
      <c r="E16" s="38">
        <v>1486.0</v>
      </c>
      <c r="F16" s="14">
        <v>52.0</v>
      </c>
      <c r="G16" s="14">
        <v>15.0</v>
      </c>
      <c r="H16" s="14">
        <v>0.0</v>
      </c>
      <c r="I16" s="14">
        <v>7.0</v>
      </c>
      <c r="J16" s="14">
        <v>4.0</v>
      </c>
      <c r="K16" s="14">
        <v>0.0</v>
      </c>
      <c r="L16" s="14">
        <f>sum(G16:K16)</f>
        <v>26</v>
      </c>
      <c r="M16" s="33">
        <f t="shared" ref="M16:M17" si="5">F16/E16</f>
        <v>0.03499327052</v>
      </c>
      <c r="N16" s="35">
        <f t="shared" ref="N16:N17" si="6">D16/F16</f>
        <v>4.449615385</v>
      </c>
      <c r="O16" s="35">
        <f t="shared" ref="O16:O17" si="7">D16/E16*1000</f>
        <v>155.7065949</v>
      </c>
      <c r="P16" s="20"/>
      <c r="Q16" s="3"/>
    </row>
    <row r="17">
      <c r="A17" s="16" t="s">
        <v>120</v>
      </c>
      <c r="B17" s="36"/>
      <c r="C17" s="36"/>
      <c r="D17" s="37">
        <f t="shared" ref="D17:L17" si="4">SUM(D13:D16)</f>
        <v>396.59</v>
      </c>
      <c r="E17" s="28">
        <f t="shared" si="4"/>
        <v>2213</v>
      </c>
      <c r="F17" s="25">
        <f t="shared" si="4"/>
        <v>90</v>
      </c>
      <c r="G17" s="12">
        <f t="shared" si="4"/>
        <v>23</v>
      </c>
      <c r="H17" s="12">
        <f t="shared" si="4"/>
        <v>0</v>
      </c>
      <c r="I17" s="12">
        <f t="shared" si="4"/>
        <v>10</v>
      </c>
      <c r="J17" s="12">
        <f t="shared" si="4"/>
        <v>6</v>
      </c>
      <c r="K17" s="12">
        <f t="shared" si="4"/>
        <v>0</v>
      </c>
      <c r="L17" s="12">
        <f t="shared" si="4"/>
        <v>39</v>
      </c>
      <c r="M17" s="17">
        <f t="shared" si="5"/>
        <v>0.04066877542</v>
      </c>
      <c r="N17" s="32">
        <f t="shared" si="6"/>
        <v>4.406555556</v>
      </c>
      <c r="O17" s="32">
        <f t="shared" si="7"/>
        <v>179.2092183</v>
      </c>
      <c r="P17" s="20"/>
      <c r="Q17" s="3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20"/>
      <c r="B19" s="40">
        <v>396.59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59</v>
      </c>
      <c r="B20" s="42">
        <v>449.38</v>
      </c>
      <c r="C20" s="43">
        <v>1.1327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41" t="s">
        <v>60</v>
      </c>
      <c r="B21" s="44">
        <v>39.0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41" t="s">
        <v>61</v>
      </c>
      <c r="B22" s="44">
        <v>2213.0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41" t="s">
        <v>63</v>
      </c>
      <c r="B23" s="45">
        <f>B20/B21</f>
        <v>11.5225641</v>
      </c>
      <c r="C23" s="40">
        <v>10.17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41" t="s">
        <v>64</v>
      </c>
      <c r="B24" s="46">
        <f>B20/B22*1000</f>
        <v>203.0637144</v>
      </c>
      <c r="C24" s="40">
        <v>179.21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3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3"/>
    </row>
    <row r="27">
      <c r="A27" s="20" t="s">
        <v>65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3"/>
    </row>
    <row r="28">
      <c r="A28" s="27" t="s">
        <v>36</v>
      </c>
      <c r="B28" s="27" t="s">
        <v>37</v>
      </c>
      <c r="C28" s="27" t="s">
        <v>39</v>
      </c>
      <c r="D28" s="27" t="s">
        <v>40</v>
      </c>
      <c r="E28" s="27" t="s">
        <v>30</v>
      </c>
      <c r="F28" s="27" t="s">
        <v>41</v>
      </c>
      <c r="G28" s="27" t="s">
        <v>42</v>
      </c>
      <c r="H28" s="27" t="s">
        <v>16</v>
      </c>
      <c r="I28" s="27" t="s">
        <v>18</v>
      </c>
      <c r="J28" s="27" t="s">
        <v>43</v>
      </c>
      <c r="K28" s="47" t="s">
        <v>66</v>
      </c>
      <c r="L28" s="47" t="s">
        <v>68</v>
      </c>
      <c r="M28" s="27" t="s">
        <v>44</v>
      </c>
      <c r="N28" s="27" t="s">
        <v>45</v>
      </c>
      <c r="O28" s="27" t="s">
        <v>46</v>
      </c>
      <c r="P28" s="20"/>
      <c r="Q28" s="3"/>
    </row>
    <row r="29">
      <c r="A29" s="67" t="s">
        <v>126</v>
      </c>
      <c r="B29" s="51">
        <v>46062.0</v>
      </c>
      <c r="C29" s="82" t="s">
        <v>74</v>
      </c>
      <c r="D29" s="52">
        <v>150.0</v>
      </c>
      <c r="E29" s="54">
        <v>1976.0</v>
      </c>
      <c r="F29" s="52">
        <v>223.0</v>
      </c>
      <c r="G29" s="52">
        <v>3.0</v>
      </c>
      <c r="H29" s="52">
        <v>2.0</v>
      </c>
      <c r="I29" s="52">
        <v>1.0</v>
      </c>
      <c r="J29" s="52">
        <v>22.0</v>
      </c>
      <c r="K29" s="52">
        <v>43.0</v>
      </c>
      <c r="L29" s="52">
        <v>2.0</v>
      </c>
      <c r="M29" s="49">
        <f>F29/E29</f>
        <v>0.112854251</v>
      </c>
      <c r="N29" s="50">
        <f>D29/F29</f>
        <v>0.6726457399</v>
      </c>
      <c r="O29" s="50">
        <f>D29/E29*1000</f>
        <v>75.91093117</v>
      </c>
      <c r="P29" s="20"/>
      <c r="Q29" s="3"/>
    </row>
    <row r="30">
      <c r="A30" s="67" t="s">
        <v>89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20"/>
      <c r="Q30" s="3"/>
    </row>
    <row r="31">
      <c r="A31" s="14" t="s">
        <v>133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20"/>
      <c r="Q31" s="3"/>
    </row>
    <row r="32">
      <c r="A32" s="67" t="s">
        <v>110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67" t="s">
        <v>55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67" t="s">
        <v>116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20"/>
      <c r="Q34" s="3"/>
    </row>
    <row r="35">
      <c r="A35" s="14" t="s">
        <v>134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/>
      <c r="Q35" s="3"/>
    </row>
    <row r="36">
      <c r="A36" s="14" t="s">
        <v>135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20"/>
      <c r="Q36" s="3"/>
    </row>
    <row r="37">
      <c r="A37" s="14" t="s">
        <v>112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20"/>
      <c r="Q37" s="3"/>
    </row>
    <row r="38">
      <c r="A38" s="14" t="s">
        <v>113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20"/>
      <c r="Q38" s="3"/>
    </row>
    <row r="39">
      <c r="A39" s="67" t="s">
        <v>126</v>
      </c>
      <c r="B39" s="51">
        <v>46066.0</v>
      </c>
      <c r="C39" s="82" t="s">
        <v>74</v>
      </c>
      <c r="D39" s="52">
        <v>300.0</v>
      </c>
      <c r="E39" s="54">
        <v>4256.0</v>
      </c>
      <c r="F39" s="52">
        <v>488.0</v>
      </c>
      <c r="G39" s="52">
        <v>24.0</v>
      </c>
      <c r="H39" s="52">
        <v>2.0</v>
      </c>
      <c r="I39" s="52">
        <v>9.0</v>
      </c>
      <c r="J39" s="52">
        <v>55.0</v>
      </c>
      <c r="K39" s="52">
        <v>85.0</v>
      </c>
      <c r="L39" s="52">
        <v>2.0</v>
      </c>
      <c r="M39" s="49">
        <f>F39/E39</f>
        <v>0.1146616541</v>
      </c>
      <c r="N39" s="50">
        <f>D39/F39</f>
        <v>0.6147540984</v>
      </c>
      <c r="O39" s="50">
        <f>D39/E39*1000</f>
        <v>70.4887218</v>
      </c>
      <c r="P39" s="20"/>
      <c r="Q39" s="3"/>
    </row>
    <row r="40">
      <c r="A40" s="67" t="s">
        <v>89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20"/>
      <c r="Q40" s="3"/>
    </row>
    <row r="41">
      <c r="A41" s="14" t="s">
        <v>133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20"/>
      <c r="Q41" s="3"/>
    </row>
    <row r="42">
      <c r="A42" s="67" t="s">
        <v>110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20"/>
      <c r="Q42" s="3"/>
    </row>
    <row r="43">
      <c r="A43" s="67" t="s">
        <v>55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20"/>
      <c r="Q43" s="3"/>
    </row>
    <row r="44">
      <c r="A44" s="67" t="s">
        <v>116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20"/>
      <c r="Q44" s="3"/>
    </row>
    <row r="45">
      <c r="A45" s="14" t="s">
        <v>134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20"/>
      <c r="Q45" s="3"/>
    </row>
    <row r="46">
      <c r="A46" s="14" t="s">
        <v>135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20"/>
      <c r="Q46" s="3"/>
    </row>
    <row r="47">
      <c r="A47" s="14" t="s">
        <v>112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20"/>
      <c r="Q47" s="3"/>
    </row>
    <row r="48">
      <c r="A48" s="14" t="s">
        <v>113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20"/>
      <c r="Q48" s="3"/>
    </row>
    <row r="49">
      <c r="A49" s="67" t="s">
        <v>126</v>
      </c>
      <c r="B49" s="51">
        <v>46079.0</v>
      </c>
      <c r="C49" s="82" t="s">
        <v>74</v>
      </c>
      <c r="D49" s="52">
        <v>150.0</v>
      </c>
      <c r="E49" s="54">
        <v>2753.0</v>
      </c>
      <c r="F49" s="52">
        <v>320.0</v>
      </c>
      <c r="G49" s="52">
        <v>17.0</v>
      </c>
      <c r="H49" s="52">
        <v>0.0</v>
      </c>
      <c r="I49" s="52">
        <v>7.0</v>
      </c>
      <c r="J49" s="52">
        <v>37.0</v>
      </c>
      <c r="K49" s="52">
        <v>67.0</v>
      </c>
      <c r="L49" s="52">
        <v>1.0</v>
      </c>
      <c r="M49" s="49">
        <f>F49/E49</f>
        <v>0.1162368325</v>
      </c>
      <c r="N49" s="50">
        <f>D49/F49</f>
        <v>0.46875</v>
      </c>
      <c r="O49" s="50">
        <f>D49/E49*1000</f>
        <v>54.48601526</v>
      </c>
      <c r="P49" s="20"/>
      <c r="Q49" s="3"/>
    </row>
    <row r="50">
      <c r="A50" s="67" t="s">
        <v>89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20"/>
      <c r="Q50" s="3"/>
    </row>
    <row r="51">
      <c r="A51" s="14" t="s">
        <v>133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20"/>
      <c r="Q51" s="3"/>
    </row>
    <row r="52">
      <c r="A52" s="67" t="s">
        <v>110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20"/>
      <c r="Q52" s="3"/>
    </row>
    <row r="53">
      <c r="A53" s="67" t="s">
        <v>55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20"/>
      <c r="Q53" s="3"/>
    </row>
    <row r="54">
      <c r="A54" s="67" t="s">
        <v>116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20"/>
      <c r="Q54" s="3"/>
    </row>
    <row r="55">
      <c r="A55" s="14" t="s">
        <v>134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20"/>
      <c r="Q55" s="3"/>
    </row>
    <row r="56">
      <c r="A56" s="14" t="s">
        <v>135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20"/>
      <c r="Q56" s="3"/>
    </row>
    <row r="57">
      <c r="A57" s="14" t="s">
        <v>112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20"/>
      <c r="Q57" s="3"/>
    </row>
    <row r="58">
      <c r="A58" s="14" t="s">
        <v>113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20"/>
      <c r="Q58" s="3"/>
    </row>
    <row r="59">
      <c r="A59" s="16" t="s">
        <v>120</v>
      </c>
      <c r="B59" s="36"/>
      <c r="C59" s="36"/>
      <c r="D59" s="28">
        <f t="shared" ref="D59:L59" si="8">SUM(D29:D58)</f>
        <v>600</v>
      </c>
      <c r="E59" s="28">
        <f t="shared" si="8"/>
        <v>8985</v>
      </c>
      <c r="F59" s="25">
        <f t="shared" si="8"/>
        <v>1031</v>
      </c>
      <c r="G59" s="12">
        <f t="shared" si="8"/>
        <v>44</v>
      </c>
      <c r="H59" s="12">
        <f t="shared" si="8"/>
        <v>4</v>
      </c>
      <c r="I59" s="12">
        <f t="shared" si="8"/>
        <v>17</v>
      </c>
      <c r="J59" s="12">
        <f t="shared" si="8"/>
        <v>114</v>
      </c>
      <c r="K59" s="12">
        <f t="shared" si="8"/>
        <v>195</v>
      </c>
      <c r="L59" s="12">
        <f t="shared" si="8"/>
        <v>5</v>
      </c>
      <c r="M59" s="17">
        <f>F59/E59</f>
        <v>0.1147468002</v>
      </c>
      <c r="N59" s="32">
        <f>D59/F59</f>
        <v>0.5819592629</v>
      </c>
      <c r="O59" s="32">
        <f>D59/E59*1000</f>
        <v>66.77796327</v>
      </c>
      <c r="P59" s="20"/>
      <c r="Q59" s="3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3"/>
    </row>
    <row r="61">
      <c r="A61" s="20"/>
      <c r="B61" s="40">
        <v>600.0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"/>
    </row>
    <row r="62">
      <c r="A62" s="41" t="s">
        <v>59</v>
      </c>
      <c r="B62" s="42">
        <v>679.52</v>
      </c>
      <c r="C62" s="43">
        <v>1.1324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3"/>
    </row>
    <row r="63">
      <c r="A63" s="41" t="s">
        <v>61</v>
      </c>
      <c r="B63" s="44">
        <v>8985.0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3"/>
    </row>
    <row r="64">
      <c r="A64" s="58" t="s">
        <v>44</v>
      </c>
      <c r="B64" s="59">
        <v>0.1147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58" t="s">
        <v>79</v>
      </c>
      <c r="B65" s="61">
        <v>0.66</v>
      </c>
      <c r="C65" s="69">
        <v>0.58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58" t="s">
        <v>64</v>
      </c>
      <c r="B66" s="63">
        <f>B62/B63*1000</f>
        <v>75.62826934</v>
      </c>
      <c r="C66" s="64">
        <v>66.78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75">
      <c r="A75" s="27" t="s">
        <v>36</v>
      </c>
      <c r="B75" s="27" t="s">
        <v>37</v>
      </c>
      <c r="C75" s="27" t="s">
        <v>39</v>
      </c>
      <c r="D75" s="27" t="s">
        <v>40</v>
      </c>
      <c r="E75" s="27" t="s">
        <v>30</v>
      </c>
      <c r="F75" s="27" t="s">
        <v>41</v>
      </c>
      <c r="G75" s="27" t="s">
        <v>42</v>
      </c>
      <c r="H75" s="27" t="s">
        <v>16</v>
      </c>
      <c r="I75" s="27" t="s">
        <v>18</v>
      </c>
      <c r="J75" s="27" t="s">
        <v>43</v>
      </c>
      <c r="K75" s="47" t="s">
        <v>66</v>
      </c>
      <c r="L75" s="47" t="s">
        <v>68</v>
      </c>
      <c r="M75" s="27" t="s">
        <v>44</v>
      </c>
      <c r="N75" s="27" t="s">
        <v>45</v>
      </c>
      <c r="O75" s="27" t="s">
        <v>46</v>
      </c>
    </row>
    <row r="76">
      <c r="A76" s="67" t="s">
        <v>126</v>
      </c>
      <c r="B76" s="52" t="s">
        <v>139</v>
      </c>
      <c r="C76" s="82" t="s">
        <v>74</v>
      </c>
      <c r="D76" s="107">
        <v>600.0</v>
      </c>
      <c r="E76" s="107">
        <v>8985.0</v>
      </c>
      <c r="F76" s="97">
        <v>1031.0</v>
      </c>
      <c r="G76" s="82">
        <v>44.0</v>
      </c>
      <c r="H76" s="82">
        <v>4.0</v>
      </c>
      <c r="I76" s="82">
        <v>17.0</v>
      </c>
      <c r="J76" s="82">
        <v>114.0</v>
      </c>
      <c r="K76" s="82">
        <v>195.0</v>
      </c>
      <c r="L76" s="82">
        <v>5.0</v>
      </c>
      <c r="M76" s="49">
        <v>0.11474680022259322</v>
      </c>
      <c r="N76" s="50">
        <v>0.5819592628516004</v>
      </c>
      <c r="O76" s="50">
        <v>66.7779632721202</v>
      </c>
    </row>
    <row r="77">
      <c r="A77" s="67" t="s">
        <v>89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</row>
    <row r="78">
      <c r="A78" s="14" t="s">
        <v>133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</row>
    <row r="79">
      <c r="A79" s="67" t="s">
        <v>110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>
      <c r="A80" s="67" t="s">
        <v>55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</row>
    <row r="81">
      <c r="A81" s="67" t="s">
        <v>116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</row>
    <row r="82">
      <c r="A82" s="14" t="s">
        <v>134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</row>
    <row r="83">
      <c r="A83" s="14" t="s">
        <v>135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</row>
    <row r="84">
      <c r="A84" s="14" t="s">
        <v>112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</row>
    <row r="85">
      <c r="A85" s="14" t="s">
        <v>113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</row>
    <row r="86">
      <c r="A86" s="16" t="s">
        <v>120</v>
      </c>
      <c r="B86" s="36"/>
      <c r="C86" s="36"/>
      <c r="D86" s="28">
        <v>600.0</v>
      </c>
      <c r="E86" s="28">
        <v>8985.0</v>
      </c>
      <c r="F86" s="25">
        <v>1031.0</v>
      </c>
      <c r="G86" s="12">
        <v>44.0</v>
      </c>
      <c r="H86" s="12">
        <v>4.0</v>
      </c>
      <c r="I86" s="12">
        <v>17.0</v>
      </c>
      <c r="J86" s="12">
        <v>114.0</v>
      </c>
      <c r="K86" s="12">
        <v>195.0</v>
      </c>
      <c r="L86" s="12">
        <v>5.0</v>
      </c>
      <c r="M86" s="17">
        <v>0.11474680022259322</v>
      </c>
      <c r="N86" s="32">
        <v>0.5819592628516004</v>
      </c>
      <c r="O86" s="32">
        <v>66.7779632721202</v>
      </c>
    </row>
  </sheetData>
  <mergeCells count="57">
    <mergeCell ref="H29:H38"/>
    <mergeCell ref="I29:I38"/>
    <mergeCell ref="J29:J38"/>
    <mergeCell ref="K29:K38"/>
    <mergeCell ref="L29:L38"/>
    <mergeCell ref="M29:M38"/>
    <mergeCell ref="N29:N38"/>
    <mergeCell ref="O29:O38"/>
    <mergeCell ref="A8:C8"/>
    <mergeCell ref="B29:B38"/>
    <mergeCell ref="C29:C38"/>
    <mergeCell ref="D29:D38"/>
    <mergeCell ref="E29:E38"/>
    <mergeCell ref="F29:F38"/>
    <mergeCell ref="G29:G38"/>
    <mergeCell ref="I39:I48"/>
    <mergeCell ref="J39:J48"/>
    <mergeCell ref="K39:K48"/>
    <mergeCell ref="L39:L48"/>
    <mergeCell ref="M39:M48"/>
    <mergeCell ref="N39:N48"/>
    <mergeCell ref="O39:O48"/>
    <mergeCell ref="B39:B48"/>
    <mergeCell ref="C39:C48"/>
    <mergeCell ref="D39:D48"/>
    <mergeCell ref="E39:E48"/>
    <mergeCell ref="F39:F48"/>
    <mergeCell ref="G39:G48"/>
    <mergeCell ref="H39:H48"/>
    <mergeCell ref="I49:I58"/>
    <mergeCell ref="J49:J58"/>
    <mergeCell ref="K49:K58"/>
    <mergeCell ref="L49:L58"/>
    <mergeCell ref="M49:M58"/>
    <mergeCell ref="N49:N58"/>
    <mergeCell ref="O49:O58"/>
    <mergeCell ref="B49:B58"/>
    <mergeCell ref="C49:C58"/>
    <mergeCell ref="D49:D58"/>
    <mergeCell ref="E49:E58"/>
    <mergeCell ref="F49:F58"/>
    <mergeCell ref="G49:G58"/>
    <mergeCell ref="H49:H58"/>
    <mergeCell ref="I76:I85"/>
    <mergeCell ref="J76:J85"/>
    <mergeCell ref="K76:K85"/>
    <mergeCell ref="L76:L85"/>
    <mergeCell ref="M76:M85"/>
    <mergeCell ref="N76:N85"/>
    <mergeCell ref="O76:O85"/>
    <mergeCell ref="B76:B85"/>
    <mergeCell ref="C76:C85"/>
    <mergeCell ref="D76:D85"/>
    <mergeCell ref="E76:E85"/>
    <mergeCell ref="F76:F85"/>
    <mergeCell ref="G76:G85"/>
    <mergeCell ref="H76:H8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3"/>
      <c r="M3" s="3"/>
      <c r="N3" s="3"/>
      <c r="O3" s="3"/>
      <c r="P3" s="3"/>
      <c r="Q3" s="3"/>
    </row>
    <row r="4">
      <c r="A4" s="12">
        <v>1.0</v>
      </c>
      <c r="B4" s="83">
        <v>46050.0</v>
      </c>
      <c r="C4" s="67" t="s">
        <v>116</v>
      </c>
      <c r="D4" s="12">
        <v>231.0</v>
      </c>
      <c r="E4" s="12">
        <v>33.0</v>
      </c>
      <c r="F4" s="12">
        <v>2.0</v>
      </c>
      <c r="G4" s="12">
        <v>1.0</v>
      </c>
      <c r="H4" s="12">
        <v>13.0</v>
      </c>
      <c r="I4" s="12">
        <f t="shared" ref="I4:I6" si="1">sum(E4:H4)</f>
        <v>49</v>
      </c>
      <c r="J4" s="17">
        <f t="shared" ref="J4:J6" si="2">I4/D4</f>
        <v>0.2121212121</v>
      </c>
      <c r="K4" s="12">
        <v>1.0</v>
      </c>
      <c r="L4" s="20"/>
      <c r="M4" s="20"/>
      <c r="N4" s="20"/>
      <c r="O4" s="20"/>
      <c r="P4" s="20"/>
      <c r="Q4" s="3"/>
    </row>
    <row r="5">
      <c r="A5" s="12">
        <v>2.0</v>
      </c>
      <c r="B5" s="83">
        <v>46051.0</v>
      </c>
      <c r="C5" s="67" t="s">
        <v>89</v>
      </c>
      <c r="D5" s="12">
        <v>97.0</v>
      </c>
      <c r="E5" s="12">
        <v>13.0</v>
      </c>
      <c r="F5" s="12">
        <v>1.0</v>
      </c>
      <c r="G5" s="12">
        <v>2.0</v>
      </c>
      <c r="H5" s="12">
        <v>6.0</v>
      </c>
      <c r="I5" s="12">
        <f t="shared" si="1"/>
        <v>22</v>
      </c>
      <c r="J5" s="17">
        <f t="shared" si="2"/>
        <v>0.2268041237</v>
      </c>
      <c r="K5" s="12">
        <v>5.0</v>
      </c>
      <c r="L5" s="20"/>
      <c r="M5" s="20"/>
      <c r="N5" s="20"/>
      <c r="O5" s="20"/>
      <c r="P5" s="20"/>
      <c r="Q5" s="3"/>
    </row>
    <row r="6">
      <c r="A6" s="84" t="s">
        <v>117</v>
      </c>
      <c r="B6" s="23"/>
      <c r="C6" s="24"/>
      <c r="D6" s="12">
        <f t="shared" ref="D6:H6" si="3">SUM(D4:D5)</f>
        <v>328</v>
      </c>
      <c r="E6" s="12">
        <f t="shared" si="3"/>
        <v>46</v>
      </c>
      <c r="F6" s="12">
        <f t="shared" si="3"/>
        <v>3</v>
      </c>
      <c r="G6" s="12">
        <f t="shared" si="3"/>
        <v>3</v>
      </c>
      <c r="H6" s="12">
        <f t="shared" si="3"/>
        <v>19</v>
      </c>
      <c r="I6" s="12">
        <f t="shared" si="1"/>
        <v>71</v>
      </c>
      <c r="J6" s="17">
        <f t="shared" si="2"/>
        <v>0.2164634146</v>
      </c>
      <c r="K6" s="12">
        <f>SUM(K4:K5)</f>
        <v>6</v>
      </c>
      <c r="L6" s="20"/>
      <c r="M6" s="20"/>
      <c r="N6" s="20"/>
      <c r="O6" s="20"/>
      <c r="P6" s="20"/>
      <c r="Q6" s="3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3"/>
    </row>
    <row r="9">
      <c r="A9" s="20" t="s">
        <v>35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3"/>
    </row>
    <row r="10">
      <c r="A10" s="27" t="s">
        <v>36</v>
      </c>
      <c r="B10" s="27" t="s">
        <v>37</v>
      </c>
      <c r="C10" s="27" t="s">
        <v>39</v>
      </c>
      <c r="D10" s="27" t="s">
        <v>40</v>
      </c>
      <c r="E10" s="27" t="s">
        <v>30</v>
      </c>
      <c r="F10" s="27" t="s">
        <v>41</v>
      </c>
      <c r="G10" s="27" t="s">
        <v>42</v>
      </c>
      <c r="H10" s="27" t="s">
        <v>16</v>
      </c>
      <c r="I10" s="27" t="s">
        <v>18</v>
      </c>
      <c r="J10" s="27" t="s">
        <v>43</v>
      </c>
      <c r="K10" s="27" t="s">
        <v>17</v>
      </c>
      <c r="L10" s="27" t="s">
        <v>19</v>
      </c>
      <c r="M10" s="27" t="s">
        <v>44</v>
      </c>
      <c r="N10" s="27" t="s">
        <v>45</v>
      </c>
      <c r="O10" s="27" t="s">
        <v>46</v>
      </c>
      <c r="P10" s="20"/>
      <c r="Q10" s="3"/>
    </row>
    <row r="11">
      <c r="A11" s="67" t="s">
        <v>116</v>
      </c>
      <c r="B11" s="67" t="s">
        <v>121</v>
      </c>
      <c r="C11" s="67" t="s">
        <v>48</v>
      </c>
      <c r="D11" s="67">
        <v>453.1</v>
      </c>
      <c r="E11" s="85">
        <v>3295.0</v>
      </c>
      <c r="F11" s="67">
        <v>139.0</v>
      </c>
      <c r="G11" s="67">
        <v>30.0</v>
      </c>
      <c r="H11" s="67">
        <v>0.0</v>
      </c>
      <c r="I11" s="67">
        <v>8.0</v>
      </c>
      <c r="J11" s="86">
        <v>4.0</v>
      </c>
      <c r="K11" s="67">
        <v>4.0</v>
      </c>
      <c r="L11" s="67">
        <v>46.0</v>
      </c>
      <c r="M11" s="33">
        <f>F11/E11</f>
        <v>0.04218512898</v>
      </c>
      <c r="N11" s="35">
        <f>D11/F11</f>
        <v>3.25971223</v>
      </c>
      <c r="O11" s="35">
        <f>D11/E11*1000</f>
        <v>137.5113809</v>
      </c>
      <c r="P11" s="20"/>
      <c r="Q11" s="3"/>
    </row>
    <row r="12">
      <c r="A12" s="67" t="s">
        <v>89</v>
      </c>
      <c r="B12" s="67" t="s">
        <v>53</v>
      </c>
      <c r="C12" s="67" t="s">
        <v>53</v>
      </c>
      <c r="D12" s="67" t="s">
        <v>53</v>
      </c>
      <c r="E12" s="67" t="s">
        <v>53</v>
      </c>
      <c r="F12" s="67" t="s">
        <v>53</v>
      </c>
      <c r="G12" s="67" t="s">
        <v>53</v>
      </c>
      <c r="H12" s="67" t="s">
        <v>53</v>
      </c>
      <c r="I12" s="67" t="s">
        <v>53</v>
      </c>
      <c r="J12" s="67" t="s">
        <v>53</v>
      </c>
      <c r="K12" s="67" t="s">
        <v>53</v>
      </c>
      <c r="L12" s="67" t="s">
        <v>53</v>
      </c>
      <c r="M12" s="67" t="s">
        <v>53</v>
      </c>
      <c r="N12" s="67" t="s">
        <v>53</v>
      </c>
      <c r="O12" s="67" t="s">
        <v>53</v>
      </c>
      <c r="P12" s="20"/>
      <c r="Q12" s="3"/>
    </row>
    <row r="13">
      <c r="A13" s="12" t="s">
        <v>122</v>
      </c>
      <c r="B13" s="36"/>
      <c r="C13" s="36"/>
      <c r="D13" s="37">
        <f t="shared" ref="D13:L13" si="4">SUM(D11:D12)</f>
        <v>453.1</v>
      </c>
      <c r="E13" s="28">
        <f t="shared" si="4"/>
        <v>3295</v>
      </c>
      <c r="F13" s="25">
        <f t="shared" si="4"/>
        <v>139</v>
      </c>
      <c r="G13" s="12">
        <f t="shared" si="4"/>
        <v>30</v>
      </c>
      <c r="H13" s="12">
        <f t="shared" si="4"/>
        <v>0</v>
      </c>
      <c r="I13" s="12">
        <f t="shared" si="4"/>
        <v>8</v>
      </c>
      <c r="J13" s="12">
        <f t="shared" si="4"/>
        <v>4</v>
      </c>
      <c r="K13" s="12">
        <f t="shared" si="4"/>
        <v>4</v>
      </c>
      <c r="L13" s="12">
        <f t="shared" si="4"/>
        <v>46</v>
      </c>
      <c r="M13" s="17">
        <f>F13/E13</f>
        <v>0.04218512898</v>
      </c>
      <c r="N13" s="32">
        <f>D13/F13</f>
        <v>3.25971223</v>
      </c>
      <c r="O13" s="32">
        <f>D13/E13*1000</f>
        <v>137.5113809</v>
      </c>
      <c r="P13" s="20"/>
      <c r="Q13" s="3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"/>
    </row>
    <row r="15">
      <c r="A15" s="20"/>
      <c r="B15" s="88">
        <v>453.1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3"/>
    </row>
    <row r="16">
      <c r="A16" s="41" t="s">
        <v>59</v>
      </c>
      <c r="B16" s="89">
        <v>510.19</v>
      </c>
      <c r="C16" s="90">
        <v>1.1261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"/>
    </row>
    <row r="17">
      <c r="A17" s="41" t="s">
        <v>60</v>
      </c>
      <c r="B17" s="92">
        <v>46.0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3"/>
    </row>
    <row r="18">
      <c r="A18" s="41" t="s">
        <v>61</v>
      </c>
      <c r="B18" s="92">
        <v>3295.0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3"/>
    </row>
    <row r="19">
      <c r="A19" s="41" t="s">
        <v>63</v>
      </c>
      <c r="B19" s="45">
        <f>B16/B17</f>
        <v>11.09108696</v>
      </c>
      <c r="C19" s="90" t="s">
        <v>131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3"/>
    </row>
    <row r="20">
      <c r="A20" s="41" t="s">
        <v>64</v>
      </c>
      <c r="B20" s="46">
        <f>B16/B18*1000</f>
        <v>154.8376328</v>
      </c>
      <c r="C20" s="90" t="s">
        <v>132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3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3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3"/>
    </row>
    <row r="23">
      <c r="A23" s="20" t="s">
        <v>65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3"/>
    </row>
    <row r="24">
      <c r="A24" s="27" t="s">
        <v>36</v>
      </c>
      <c r="B24" s="27" t="s">
        <v>37</v>
      </c>
      <c r="C24" s="27" t="s">
        <v>39</v>
      </c>
      <c r="D24" s="27" t="s">
        <v>40</v>
      </c>
      <c r="E24" s="27" t="s">
        <v>30</v>
      </c>
      <c r="F24" s="27" t="s">
        <v>41</v>
      </c>
      <c r="G24" s="27" t="s">
        <v>42</v>
      </c>
      <c r="H24" s="27" t="s">
        <v>16</v>
      </c>
      <c r="I24" s="27" t="s">
        <v>18</v>
      </c>
      <c r="J24" s="27" t="s">
        <v>43</v>
      </c>
      <c r="K24" s="47" t="s">
        <v>66</v>
      </c>
      <c r="L24" s="47" t="s">
        <v>68</v>
      </c>
      <c r="M24" s="27" t="s">
        <v>44</v>
      </c>
      <c r="N24" s="27" t="s">
        <v>45</v>
      </c>
      <c r="O24" s="27" t="s">
        <v>46</v>
      </c>
      <c r="P24" s="20"/>
      <c r="Q24" s="3"/>
    </row>
    <row r="25">
      <c r="A25" s="67" t="s">
        <v>126</v>
      </c>
      <c r="B25" s="96">
        <v>46052.0</v>
      </c>
      <c r="C25" s="82" t="s">
        <v>74</v>
      </c>
      <c r="D25" s="82">
        <v>150.0</v>
      </c>
      <c r="E25" s="97">
        <v>2493.0</v>
      </c>
      <c r="F25" s="82">
        <v>302.0</v>
      </c>
      <c r="G25" s="82">
        <v>9.0</v>
      </c>
      <c r="H25" s="82">
        <v>4.0</v>
      </c>
      <c r="I25" s="82">
        <v>4.0</v>
      </c>
      <c r="J25" s="82">
        <v>43.0</v>
      </c>
      <c r="K25" s="82">
        <v>63.0</v>
      </c>
      <c r="L25" s="82">
        <v>3.0</v>
      </c>
      <c r="M25" s="49">
        <f>F25/E25</f>
        <v>0.1211391897</v>
      </c>
      <c r="N25" s="50">
        <f>D25/F25</f>
        <v>0.4966887417</v>
      </c>
      <c r="O25" s="50">
        <f>D25/E25*1000</f>
        <v>60.16847172</v>
      </c>
      <c r="P25" s="20"/>
      <c r="Q25" s="3"/>
    </row>
    <row r="26">
      <c r="A26" s="67" t="s">
        <v>111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20"/>
      <c r="Q26" s="3"/>
    </row>
    <row r="27">
      <c r="A27" s="67" t="s">
        <v>136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20"/>
      <c r="Q27" s="3"/>
    </row>
    <row r="28">
      <c r="A28" s="67" t="s">
        <v>110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20"/>
      <c r="Q28" s="3"/>
    </row>
    <row r="29">
      <c r="A29" s="67" t="s">
        <v>134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20"/>
      <c r="Q29" s="3"/>
    </row>
    <row r="30">
      <c r="A30" s="67" t="s">
        <v>93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20"/>
      <c r="Q30" s="3"/>
    </row>
    <row r="31">
      <c r="A31" s="67" t="s">
        <v>137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20"/>
      <c r="Q31" s="3"/>
    </row>
    <row r="32">
      <c r="A32" s="67" t="s">
        <v>55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20"/>
      <c r="Q32" s="3"/>
    </row>
    <row r="33">
      <c r="A33" s="67" t="s">
        <v>89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20"/>
      <c r="Q33" s="3"/>
    </row>
    <row r="34">
      <c r="A34" s="67" t="s">
        <v>116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20"/>
      <c r="Q34" s="3"/>
    </row>
    <row r="35">
      <c r="A35" s="12" t="s">
        <v>122</v>
      </c>
      <c r="B35" s="36"/>
      <c r="C35" s="36"/>
      <c r="D35" s="37">
        <f t="shared" ref="D35:L35" si="5">SUM(D25:D34)</f>
        <v>150</v>
      </c>
      <c r="E35" s="28">
        <f t="shared" si="5"/>
        <v>2493</v>
      </c>
      <c r="F35" s="25">
        <f t="shared" si="5"/>
        <v>302</v>
      </c>
      <c r="G35" s="12">
        <f t="shared" si="5"/>
        <v>9</v>
      </c>
      <c r="H35" s="12">
        <f t="shared" si="5"/>
        <v>4</v>
      </c>
      <c r="I35" s="12">
        <f t="shared" si="5"/>
        <v>4</v>
      </c>
      <c r="J35" s="12">
        <f t="shared" si="5"/>
        <v>43</v>
      </c>
      <c r="K35" s="12">
        <f t="shared" si="5"/>
        <v>63</v>
      </c>
      <c r="L35" s="12">
        <f t="shared" si="5"/>
        <v>3</v>
      </c>
      <c r="M35" s="17">
        <f>F35/E35</f>
        <v>0.1211391897</v>
      </c>
      <c r="N35" s="32">
        <f>D35/F35</f>
        <v>0.4966887417</v>
      </c>
      <c r="O35" s="32">
        <f>D35/E35*1000</f>
        <v>60.16847172</v>
      </c>
      <c r="P35" s="20"/>
      <c r="Q35" s="3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3"/>
    </row>
    <row r="37">
      <c r="A37" s="20"/>
      <c r="B37" s="88">
        <v>150.0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3"/>
    </row>
    <row r="38">
      <c r="A38" s="41" t="s">
        <v>59</v>
      </c>
      <c r="B38" s="89">
        <v>168.93</v>
      </c>
      <c r="C38" s="90">
        <v>1.1261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3"/>
    </row>
    <row r="39">
      <c r="A39" s="41" t="s">
        <v>61</v>
      </c>
      <c r="B39" s="92">
        <v>2493.0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3"/>
    </row>
    <row r="40">
      <c r="A40" s="58" t="s">
        <v>44</v>
      </c>
      <c r="B40" s="104">
        <v>0.1211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58" t="s">
        <v>79</v>
      </c>
      <c r="B41" s="105">
        <v>0.56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58" t="s">
        <v>64</v>
      </c>
      <c r="B42" s="63">
        <f>B38/B39*1000</f>
        <v>67.76173285</v>
      </c>
      <c r="C42" s="106" t="s">
        <v>138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</sheetData>
  <mergeCells count="15">
    <mergeCell ref="H25:H34"/>
    <mergeCell ref="I25:I34"/>
    <mergeCell ref="J25:J34"/>
    <mergeCell ref="K25:K34"/>
    <mergeCell ref="L25:L34"/>
    <mergeCell ref="M25:M34"/>
    <mergeCell ref="N25:N34"/>
    <mergeCell ref="O25:O34"/>
    <mergeCell ref="A6:C6"/>
    <mergeCell ref="B25:B34"/>
    <mergeCell ref="C25:C34"/>
    <mergeCell ref="D25:D34"/>
    <mergeCell ref="E25:E34"/>
    <mergeCell ref="F25:F34"/>
    <mergeCell ref="G25:G3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41.88"/>
  </cols>
  <sheetData>
    <row r="1">
      <c r="A1" s="87" t="s">
        <v>123</v>
      </c>
      <c r="B1" s="87" t="s">
        <v>124</v>
      </c>
      <c r="C1" s="87" t="s">
        <v>125</v>
      </c>
      <c r="D1" s="87" t="s">
        <v>61</v>
      </c>
      <c r="E1" s="87" t="s">
        <v>60</v>
      </c>
    </row>
    <row r="2">
      <c r="A2" s="91" t="s">
        <v>127</v>
      </c>
      <c r="B2" s="91" t="s">
        <v>128</v>
      </c>
      <c r="C2" s="98" t="s">
        <v>129</v>
      </c>
      <c r="D2" s="99">
        <v>35952.0</v>
      </c>
      <c r="E2" s="91">
        <v>230.0</v>
      </c>
    </row>
  </sheetData>
  <hyperlinks>
    <hyperlink r:id="rId1" ref="C2"/>
  </hyperlinks>
  <drawing r:id="rId2"/>
</worksheet>
</file>